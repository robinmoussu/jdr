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F:\Paul\Documents\JDRs\D&amp;D 3.5\Monde\Persos\"/>
    </mc:Choice>
  </mc:AlternateContent>
  <bookViews>
    <workbookView xWindow="30" yWindow="-135" windowWidth="22950" windowHeight="10620" tabRatio="763" activeTab="5"/>
  </bookViews>
  <sheets>
    <sheet name="Personnage" sheetId="2" r:id="rId1"/>
    <sheet name="Compétences" sheetId="15" r:id="rId2"/>
    <sheet name="Equipement" sheetId="1" r:id="rId3"/>
    <sheet name="Formes animales" sheetId="20" r:id="rId4"/>
    <sheet name="Compagnon animal" sheetId="19" r:id="rId5"/>
    <sheet name="Sorts" sheetId="4" r:id="rId6"/>
    <sheet name="Ref" sheetId="16" r:id="rId7"/>
  </sheets>
  <definedNames>
    <definedName name="ACROBATIES">Compétences!$B$2</definedName>
    <definedName name="ART_MAGIE">Compétences!$B$3</definedName>
    <definedName name="ARTISANAT">Compétences!$B$4</definedName>
    <definedName name="BBA">Personnage!$B$25</definedName>
    <definedName name="BLUFF">Compétences!$B$5</definedName>
    <definedName name="C_ARCHI">Compétences!$B$7</definedName>
    <definedName name="C_EXPLO">Compétences!$B$8</definedName>
    <definedName name="C_FOLK">Compétences!$B$9</definedName>
    <definedName name="C_GEO">Compétences!$B$10</definedName>
    <definedName name="C_HIST">Compétences!$B$11</definedName>
    <definedName name="C_MYST">Compétences!$B$12</definedName>
    <definedName name="C_NATURE">Compétences!$B$13</definedName>
    <definedName name="C_NOBLESSE">Compétences!$B$14</definedName>
    <definedName name="C_PLANS">Compétences!$B$15</definedName>
    <definedName name="C_RELIGION">Compétences!$B$16</definedName>
    <definedName name="CA">Personnage!$B$39</definedName>
    <definedName name="CHA">Personnage!$C$23</definedName>
    <definedName name="CHARGE">Equipement!$F$84</definedName>
    <definedName name="CLASSE1">Personnage!$A$2</definedName>
    <definedName name="CLASSE2">Personnage!$A$3</definedName>
    <definedName name="CLASSE3">Personnage!$A$4</definedName>
    <definedName name="CON">Personnage!$C$20</definedName>
    <definedName name="CONTACT">Personnage!$B$40</definedName>
    <definedName name="CONTREFACON">Compétences!$B$17</definedName>
    <definedName name="CROCHETAGE">Compétences!$B$18</definedName>
    <definedName name="CROISSANCE">'Compagnon animal'!$E$15</definedName>
    <definedName name="DECRYPT">Compétences!$B$19</definedName>
    <definedName name="DEF_TOTALE">Personnage!$E$40</definedName>
    <definedName name="DEGUISE">Compétences!$B$20</definedName>
    <definedName name="DEP_SIL">Compétences!$B$21</definedName>
    <definedName name="DEPOURVU">Personnage!$B$41</definedName>
    <definedName name="DESAMORCE">Compétences!$B$22</definedName>
    <definedName name="DETECTION">Compétences!$B$23</definedName>
    <definedName name="DEX">Personnage!$C$19</definedName>
    <definedName name="DEX_MAX">Equipement!$F$92</definedName>
    <definedName name="DEX_MAX_ARMURE">Equipement!$F$89</definedName>
    <definedName name="DEX_MAX_ENCOMB">Equipement!$F$86</definedName>
    <definedName name="DIPLO">Compétences!$B$24</definedName>
    <definedName name="DISCRETION">Compétences!$B$25</definedName>
    <definedName name="DISTANCE">Personnage!$B$27</definedName>
    <definedName name="DRESSAGE">Compétences!$B$26</definedName>
    <definedName name="EQUILIBRE">Compétences!$B$27</definedName>
    <definedName name="EQUITATION">Compétences!$B$28</definedName>
    <definedName name="ESCALADE">Compétences!$B$29</definedName>
    <definedName name="ESCAMO">Compétences!$B$30</definedName>
    <definedName name="ESTIMATION">Compétences!$B$31</definedName>
    <definedName name="EVASION">Compétences!$B$32</definedName>
    <definedName name="FA">Personnage!$H$29</definedName>
    <definedName name="FOR">Personnage!$C$18</definedName>
    <definedName name="FORCE_TOTAL">Personnage!$B$18</definedName>
    <definedName name="FORME_ANIMALE">'Formes animales'!$B$1</definedName>
    <definedName name="FOUILLE">Compétences!$B$33</definedName>
    <definedName name="INT">Personnage!$C$21</definedName>
    <definedName name="INT_ALT">Personnage!$G$21</definedName>
    <definedName name="INTERMEDIAIRE">Equipement!$H$84</definedName>
    <definedName name="INTIMID">Compétences!$B$34</definedName>
    <definedName name="LANGUE">Compétences!$B$35</definedName>
    <definedName name="LEGERE">Equipement!$G$84</definedName>
    <definedName name="LOURDE">Equipement!$I$84</definedName>
    <definedName name="LUTTE">Personnage!$B$26</definedName>
    <definedName name="M_CORDES">Compétences!$B$36</definedName>
    <definedName name="MAGIE">Personnage!$C$49</definedName>
    <definedName name="MALUS_TESTS">Equipement!$F$91</definedName>
    <definedName name="MALUS_TESTS_ARMURE">Equipement!$F$88</definedName>
    <definedName name="MALUS_TESTS_ENCOMB">Equipement!$F$85</definedName>
    <definedName name="MARTIAL">Personnage!$E$74</definedName>
    <definedName name="NATATION">Compétences!$B$37</definedName>
    <definedName name="NGE">Personnage!$E$1</definedName>
    <definedName name="NIV_CLASSE1">Personnage!$B$2</definedName>
    <definedName name="NIV_CLASSE2">Personnage!$B$3</definedName>
    <definedName name="NIV_CLASSE3">Personnage!$B$4</definedName>
    <definedName name="NLS">Personnage!$E$2</definedName>
    <definedName name="P_AUDITIVE">Compétences!$B$38</definedName>
    <definedName name="PREDI">Personnage!$E$72</definedName>
    <definedName name="PROFESSION">Compétences!$B$40</definedName>
    <definedName name="PSYCHO">Compétences!$B$41</definedName>
    <definedName name="PV">Personnage!$H$1</definedName>
    <definedName name="REFLEXE">Personnage!$B$44</definedName>
    <definedName name="RENSEIGNE">Compétences!$B$42</definedName>
    <definedName name="RENSIGNE">Compétences!$B$42</definedName>
    <definedName name="REPRESENTE">Compétences!$B$43</definedName>
    <definedName name="SAG">Personnage!$C$22</definedName>
    <definedName name="SAUT">Compétences!$B$44</definedName>
    <definedName name="SURVIE">Compétences!$B$45</definedName>
    <definedName name="TAILLE">Personnage!$K$4</definedName>
    <definedName name="TR_DRUI" localSheetId="4">'Compagnon animal'!$B$16</definedName>
    <definedName name="TR_PAL">#REF!</definedName>
    <definedName name="UTIL_OM">Compétences!$B$46</definedName>
    <definedName name="VIGUEUR">Personnage!$B$45</definedName>
    <definedName name="VITESSE">Personnage!$B$14</definedName>
    <definedName name="VITESSE_BONUS">Personnage!$E$14</definedName>
    <definedName name="VITESSE_RACIAL">Personnage!$D$14</definedName>
    <definedName name="VITESSE_REDUC">Equipement!$F$93</definedName>
    <definedName name="VITESSE_REDUC_ARMURE">Equipement!$F$90</definedName>
    <definedName name="VITESSE_REDUC_ENCOMB">Equipement!$F$87</definedName>
    <definedName name="VOLONTE">Personnage!$B$46</definedName>
  </definedNames>
  <calcPr calcId="152511" iterateDelta="1E-4"/>
</workbook>
</file>

<file path=xl/calcChain.xml><?xml version="1.0" encoding="utf-8"?>
<calcChain xmlns="http://schemas.openxmlformats.org/spreadsheetml/2006/main">
  <c r="B4" i="20" l="1"/>
  <c r="B62" i="20"/>
  <c r="B5" i="19"/>
  <c r="B26" i="19"/>
  <c r="G29" i="2"/>
  <c r="D11" i="20"/>
  <c r="B10" i="20"/>
  <c r="L29" i="2"/>
  <c r="B12" i="20"/>
  <c r="K5" i="2" s="1"/>
  <c r="K4" i="2" s="1"/>
  <c r="B15" i="19"/>
  <c r="B3" i="20"/>
  <c r="B5" i="20"/>
  <c r="B6" i="20"/>
  <c r="B18" i="2" s="1"/>
  <c r="B7" i="20"/>
  <c r="B8" i="20"/>
  <c r="B20" i="2" s="1"/>
  <c r="B9" i="20"/>
  <c r="B11" i="20"/>
  <c r="B13" i="20"/>
  <c r="G39" i="2" s="1"/>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3" i="20"/>
  <c r="B44" i="20"/>
  <c r="B45" i="20"/>
  <c r="B46" i="20"/>
  <c r="B47" i="20"/>
  <c r="B48" i="20"/>
  <c r="B35" i="15" s="1"/>
  <c r="B49" i="20"/>
  <c r="B50" i="20"/>
  <c r="B51" i="20"/>
  <c r="B52" i="20"/>
  <c r="B53" i="20"/>
  <c r="B54" i="20"/>
  <c r="B55" i="20"/>
  <c r="B56" i="20"/>
  <c r="B58" i="20"/>
  <c r="B59" i="20"/>
  <c r="B60" i="20"/>
  <c r="B61" i="20"/>
  <c r="B63" i="20"/>
  <c r="B64" i="20"/>
  <c r="B65" i="20"/>
  <c r="B66" i="20"/>
  <c r="B67" i="20"/>
  <c r="B68" i="20"/>
  <c r="B69" i="20"/>
  <c r="B70" i="20"/>
  <c r="B71" i="20"/>
  <c r="B72" i="20"/>
  <c r="B73" i="20"/>
  <c r="B74" i="20"/>
  <c r="B75" i="20"/>
  <c r="B76" i="20"/>
  <c r="B77" i="20"/>
  <c r="B78" i="20"/>
  <c r="B79" i="20"/>
  <c r="B80" i="20"/>
  <c r="B81" i="20"/>
  <c r="B82" i="20"/>
  <c r="B83" i="20"/>
  <c r="B84" i="20"/>
  <c r="B2" i="20"/>
  <c r="B21" i="2"/>
  <c r="D14" i="2" l="1"/>
  <c r="B22" i="2"/>
  <c r="B23" i="2"/>
  <c r="B19" i="2"/>
  <c r="C49" i="19" l="1"/>
  <c r="M3" i="15" l="1"/>
  <c r="D19" i="1" l="1"/>
  <c r="C19" i="1"/>
  <c r="C17" i="1"/>
  <c r="C10" i="1"/>
  <c r="C45" i="2" l="1"/>
  <c r="D31" i="2"/>
  <c r="S72" i="2"/>
  <c r="G72" i="2"/>
  <c r="H74" i="2"/>
  <c r="E1" i="2"/>
  <c r="C44" i="2"/>
  <c r="C46" i="2"/>
  <c r="B25" i="2"/>
  <c r="B29" i="19" l="1"/>
  <c r="C29" i="19" s="1"/>
  <c r="C26" i="19"/>
  <c r="D33" i="19" s="1"/>
  <c r="B27" i="19"/>
  <c r="C27" i="19" s="1"/>
  <c r="B28" i="19"/>
  <c r="C28" i="19" s="1"/>
  <c r="B16" i="19"/>
  <c r="E37" i="19" s="1"/>
  <c r="C37" i="19"/>
  <c r="B6" i="19"/>
  <c r="E21" i="19" s="1"/>
  <c r="D34" i="19" l="1"/>
  <c r="D42" i="19"/>
  <c r="B8" i="19"/>
  <c r="B9" i="19" s="1"/>
  <c r="A71" i="19"/>
  <c r="A70" i="19"/>
  <c r="A68" i="19"/>
  <c r="B81" i="19"/>
  <c r="A69" i="19"/>
  <c r="E24" i="19"/>
  <c r="A67" i="19"/>
  <c r="E25" i="19"/>
  <c r="D47" i="19"/>
  <c r="B47" i="19" s="1"/>
  <c r="B42" i="19"/>
  <c r="E19" i="19"/>
  <c r="E20" i="19"/>
  <c r="F37" i="19"/>
  <c r="B110" i="4"/>
  <c r="B109" i="4"/>
  <c r="B108" i="4"/>
  <c r="B107" i="4"/>
  <c r="B106" i="4"/>
  <c r="B105" i="4"/>
  <c r="B104" i="4"/>
  <c r="B103" i="4"/>
  <c r="B102" i="4"/>
  <c r="D101" i="4"/>
  <c r="C101" i="4"/>
  <c r="B99" i="4"/>
  <c r="B98" i="4"/>
  <c r="B97" i="4"/>
  <c r="B96" i="4"/>
  <c r="B95" i="4"/>
  <c r="B94" i="4"/>
  <c r="B93" i="4"/>
  <c r="B92" i="4"/>
  <c r="B91" i="4"/>
  <c r="D90" i="4"/>
  <c r="C90" i="4"/>
  <c r="F90" i="1"/>
  <c r="O2" i="15"/>
  <c r="P2" i="15"/>
  <c r="O3" i="15"/>
  <c r="P46" i="15" s="1"/>
  <c r="O4" i="15"/>
  <c r="P31" i="15" s="1"/>
  <c r="O5" i="15"/>
  <c r="P20" i="15" s="1"/>
  <c r="O6" i="15"/>
  <c r="O7" i="15"/>
  <c r="O8" i="15"/>
  <c r="O9" i="15"/>
  <c r="O10" i="15"/>
  <c r="O11" i="15"/>
  <c r="O12" i="15"/>
  <c r="O13" i="15"/>
  <c r="O14" i="15"/>
  <c r="O15" i="15"/>
  <c r="O16" i="15"/>
  <c r="O17" i="15"/>
  <c r="O18" i="15"/>
  <c r="O19" i="15"/>
  <c r="O20" i="15"/>
  <c r="O21" i="15"/>
  <c r="O22" i="15"/>
  <c r="O23" i="15"/>
  <c r="O24" i="15"/>
  <c r="O25" i="15"/>
  <c r="O26" i="15"/>
  <c r="M28" i="15" s="1"/>
  <c r="M27" i="15"/>
  <c r="O27" i="15"/>
  <c r="O28" i="15"/>
  <c r="O29" i="15"/>
  <c r="M30" i="15"/>
  <c r="O30" i="15"/>
  <c r="O31" i="15"/>
  <c r="O32" i="15"/>
  <c r="P36" i="15" s="1"/>
  <c r="O33" i="15"/>
  <c r="M34" i="15"/>
  <c r="O34" i="15"/>
  <c r="O35" i="15"/>
  <c r="O36" i="15"/>
  <c r="O37" i="15"/>
  <c r="O38" i="15"/>
  <c r="O39" i="15"/>
  <c r="O40" i="15"/>
  <c r="O41" i="15"/>
  <c r="M24" i="15"/>
  <c r="M42" i="15"/>
  <c r="O42" i="15"/>
  <c r="O43" i="15"/>
  <c r="M44" i="15"/>
  <c r="O44" i="15"/>
  <c r="M2" i="15" s="1"/>
  <c r="O45" i="15"/>
  <c r="M13" i="15" s="1"/>
  <c r="O46" i="15"/>
  <c r="A49" i="15"/>
  <c r="B49" i="15" s="1"/>
  <c r="D49" i="15"/>
  <c r="A50" i="15"/>
  <c r="B50" i="15" s="1"/>
  <c r="D50" i="15"/>
  <c r="A51" i="15"/>
  <c r="B51" i="15" s="1"/>
  <c r="C51" i="15"/>
  <c r="D51" i="15"/>
  <c r="B52" i="15"/>
  <c r="D52" i="15"/>
  <c r="E2" i="1"/>
  <c r="F2" i="1"/>
  <c r="E3" i="1"/>
  <c r="F3" i="1"/>
  <c r="E4" i="1"/>
  <c r="F4" i="1"/>
  <c r="E5" i="1"/>
  <c r="F5" i="1"/>
  <c r="E6" i="1"/>
  <c r="F6" i="1"/>
  <c r="E7" i="1"/>
  <c r="F7" i="1"/>
  <c r="E8" i="1"/>
  <c r="F8" i="1"/>
  <c r="E9" i="1"/>
  <c r="F9" i="1"/>
  <c r="E10" i="1"/>
  <c r="F10" i="1"/>
  <c r="E11" i="1"/>
  <c r="F11" i="1"/>
  <c r="E12" i="1"/>
  <c r="F12" i="1"/>
  <c r="E13" i="1"/>
  <c r="F13" i="1"/>
  <c r="E14" i="1"/>
  <c r="F14" i="1"/>
  <c r="E15" i="1"/>
  <c r="F15" i="1"/>
  <c r="E17" i="1"/>
  <c r="E18" i="1"/>
  <c r="E19" i="1"/>
  <c r="E20" i="1"/>
  <c r="E21" i="1"/>
  <c r="E22" i="1"/>
  <c r="E23" i="1"/>
  <c r="E24" i="1"/>
  <c r="E25" i="1"/>
  <c r="E26" i="1"/>
  <c r="E27" i="1"/>
  <c r="E28" i="1"/>
  <c r="E29" i="1"/>
  <c r="E30" i="1"/>
  <c r="E31" i="1"/>
  <c r="E32" i="1"/>
  <c r="E33" i="1"/>
  <c r="E34" i="1"/>
  <c r="E35" i="1"/>
  <c r="F35" i="1"/>
  <c r="C36" i="1"/>
  <c r="E36" i="1" s="1"/>
  <c r="F36" i="1"/>
  <c r="C37" i="1"/>
  <c r="E37" i="1" s="1"/>
  <c r="F37" i="1"/>
  <c r="C38" i="1"/>
  <c r="E38" i="1" s="1"/>
  <c r="F38" i="1"/>
  <c r="C39" i="1"/>
  <c r="E39" i="1" s="1"/>
  <c r="F39" i="1"/>
  <c r="C40" i="1"/>
  <c r="E40" i="1" s="1"/>
  <c r="F40" i="1"/>
  <c r="C41" i="1"/>
  <c r="E41" i="1" s="1"/>
  <c r="F41" i="1"/>
  <c r="C42" i="1"/>
  <c r="E42" i="1" s="1"/>
  <c r="F42" i="1"/>
  <c r="C43" i="1"/>
  <c r="E43" i="1" s="1"/>
  <c r="F43" i="1"/>
  <c r="C44" i="1"/>
  <c r="E44" i="1" s="1"/>
  <c r="F44" i="1"/>
  <c r="C45" i="1"/>
  <c r="E45" i="1" s="1"/>
  <c r="F45" i="1"/>
  <c r="E46" i="1"/>
  <c r="F46" i="1"/>
  <c r="C47" i="1"/>
  <c r="E47" i="1" s="1"/>
  <c r="F47" i="1"/>
  <c r="C48" i="1"/>
  <c r="E48" i="1" s="1"/>
  <c r="F48" i="1"/>
  <c r="C49" i="1"/>
  <c r="E49" i="1" s="1"/>
  <c r="F49" i="1"/>
  <c r="C50" i="1"/>
  <c r="E50" i="1" s="1"/>
  <c r="F50" i="1"/>
  <c r="C51" i="1"/>
  <c r="E51" i="1" s="1"/>
  <c r="F51" i="1"/>
  <c r="C52" i="1"/>
  <c r="E52" i="1" s="1"/>
  <c r="F52" i="1"/>
  <c r="C53" i="1"/>
  <c r="E53" i="1" s="1"/>
  <c r="F53" i="1"/>
  <c r="C54" i="1"/>
  <c r="E54" i="1" s="1"/>
  <c r="F54" i="1"/>
  <c r="C55" i="1"/>
  <c r="E55" i="1" s="1"/>
  <c r="F55" i="1"/>
  <c r="C56" i="1"/>
  <c r="E56" i="1" s="1"/>
  <c r="F56" i="1"/>
  <c r="E57" i="1"/>
  <c r="F57" i="1"/>
  <c r="C58" i="1"/>
  <c r="E58" i="1" s="1"/>
  <c r="F58" i="1"/>
  <c r="C59" i="1"/>
  <c r="E59" i="1" s="1"/>
  <c r="F59" i="1"/>
  <c r="C60" i="1"/>
  <c r="E60" i="1" s="1"/>
  <c r="F60" i="1"/>
  <c r="C61" i="1"/>
  <c r="E61" i="1" s="1"/>
  <c r="F61" i="1"/>
  <c r="C62" i="1"/>
  <c r="E62" i="1" s="1"/>
  <c r="F62" i="1"/>
  <c r="C63" i="1"/>
  <c r="E63" i="1" s="1"/>
  <c r="F63" i="1"/>
  <c r="C64" i="1"/>
  <c r="E64" i="1" s="1"/>
  <c r="F64" i="1"/>
  <c r="C65" i="1"/>
  <c r="E65" i="1" s="1"/>
  <c r="F65" i="1"/>
  <c r="C66" i="1"/>
  <c r="E66" i="1" s="1"/>
  <c r="F66" i="1"/>
  <c r="C67" i="1"/>
  <c r="E67" i="1" s="1"/>
  <c r="F67" i="1"/>
  <c r="E69" i="1"/>
  <c r="F69" i="1"/>
  <c r="E70" i="1"/>
  <c r="F70" i="1"/>
  <c r="E71" i="1"/>
  <c r="F71" i="1"/>
  <c r="E72" i="1"/>
  <c r="F72" i="1"/>
  <c r="E74" i="1"/>
  <c r="F74" i="1"/>
  <c r="E75" i="1"/>
  <c r="F75" i="1"/>
  <c r="E76" i="1"/>
  <c r="F76" i="1"/>
  <c r="E77" i="1"/>
  <c r="F77" i="1"/>
  <c r="E79" i="1"/>
  <c r="F79" i="1"/>
  <c r="E80" i="1"/>
  <c r="F80" i="1"/>
  <c r="D81" i="1"/>
  <c r="F81" i="1" s="1"/>
  <c r="E81" i="1"/>
  <c r="E82" i="1"/>
  <c r="F82" i="1"/>
  <c r="E83" i="1"/>
  <c r="F83" i="1"/>
  <c r="E2" i="2"/>
  <c r="K1" i="1"/>
  <c r="C19" i="2"/>
  <c r="C20" i="2"/>
  <c r="J29" i="2" s="1"/>
  <c r="C21" i="2"/>
  <c r="C50" i="15" s="1"/>
  <c r="C22" i="2"/>
  <c r="C23" i="2"/>
  <c r="H64" i="2" s="1"/>
  <c r="B51" i="2"/>
  <c r="B2" i="4" s="1"/>
  <c r="C2" i="4"/>
  <c r="D2" i="4"/>
  <c r="B3" i="4"/>
  <c r="B4" i="4"/>
  <c r="B5" i="4"/>
  <c r="B6" i="4"/>
  <c r="B7" i="4"/>
  <c r="B8" i="4"/>
  <c r="B9" i="4"/>
  <c r="B10" i="4"/>
  <c r="B11" i="4"/>
  <c r="C13" i="4"/>
  <c r="D13" i="4"/>
  <c r="B14" i="4"/>
  <c r="B15" i="4"/>
  <c r="B16" i="4"/>
  <c r="B17" i="4"/>
  <c r="B18" i="4"/>
  <c r="B19" i="4"/>
  <c r="B20" i="4"/>
  <c r="B21" i="4"/>
  <c r="B22" i="4"/>
  <c r="C24" i="4"/>
  <c r="D24" i="4"/>
  <c r="B25" i="4"/>
  <c r="B26" i="4"/>
  <c r="B27" i="4"/>
  <c r="B28" i="4"/>
  <c r="B29" i="4"/>
  <c r="B30" i="4"/>
  <c r="B31" i="4"/>
  <c r="B32" i="4"/>
  <c r="B33" i="4"/>
  <c r="C35" i="4"/>
  <c r="D35" i="4"/>
  <c r="B36" i="4"/>
  <c r="B37" i="4"/>
  <c r="B38" i="4"/>
  <c r="B39" i="4"/>
  <c r="B40" i="4"/>
  <c r="B41" i="4"/>
  <c r="B42" i="4"/>
  <c r="B43" i="4"/>
  <c r="B44" i="4"/>
  <c r="C46" i="4"/>
  <c r="D46" i="4"/>
  <c r="B47" i="4"/>
  <c r="B48" i="4"/>
  <c r="B49" i="4"/>
  <c r="B50" i="4"/>
  <c r="B51" i="4"/>
  <c r="B52" i="4"/>
  <c r="B53" i="4"/>
  <c r="B54" i="4"/>
  <c r="B55" i="4"/>
  <c r="C57" i="4"/>
  <c r="D57" i="4"/>
  <c r="B58" i="4"/>
  <c r="B59" i="4"/>
  <c r="B60" i="4"/>
  <c r="B61" i="4"/>
  <c r="B62" i="4"/>
  <c r="B63" i="4"/>
  <c r="B64" i="4"/>
  <c r="B65" i="4"/>
  <c r="B66" i="4"/>
  <c r="C68" i="4"/>
  <c r="D68" i="4"/>
  <c r="B69" i="4"/>
  <c r="B70" i="4"/>
  <c r="B71" i="4"/>
  <c r="B72" i="4"/>
  <c r="B73" i="4"/>
  <c r="B74" i="4"/>
  <c r="B75" i="4"/>
  <c r="B76" i="4"/>
  <c r="B77" i="4"/>
  <c r="C79" i="4"/>
  <c r="D79" i="4"/>
  <c r="B80" i="4"/>
  <c r="B81" i="4"/>
  <c r="B82" i="4"/>
  <c r="B83" i="4"/>
  <c r="B84" i="4"/>
  <c r="B85" i="4"/>
  <c r="B86" i="4"/>
  <c r="B87" i="4"/>
  <c r="B88" i="4"/>
  <c r="P32" i="15"/>
  <c r="P29" i="15"/>
  <c r="C25" i="19" l="1"/>
  <c r="D45" i="19" s="1"/>
  <c r="B45" i="19" s="1"/>
  <c r="B25" i="19"/>
  <c r="C24" i="19"/>
  <c r="D21" i="19" s="1"/>
  <c r="B24" i="19"/>
  <c r="C34" i="19"/>
  <c r="B34" i="19" s="1"/>
  <c r="E49" i="19"/>
  <c r="D20" i="19"/>
  <c r="B11" i="19"/>
  <c r="B20" i="19" s="1"/>
  <c r="C50" i="19"/>
  <c r="P45" i="15"/>
  <c r="C33" i="19"/>
  <c r="B33" i="19" s="1"/>
  <c r="C32" i="19"/>
  <c r="I40" i="15"/>
  <c r="B40" i="15" s="1"/>
  <c r="E72" i="2"/>
  <c r="D43" i="19"/>
  <c r="B43" i="19" s="1"/>
  <c r="D48" i="19"/>
  <c r="B48" i="19" s="1"/>
  <c r="D32" i="19"/>
  <c r="B32" i="19" s="1"/>
  <c r="D44" i="19"/>
  <c r="B44" i="19" s="1"/>
  <c r="I22" i="15"/>
  <c r="B22" i="15" s="1"/>
  <c r="C49" i="15"/>
  <c r="C54" i="15" s="1"/>
  <c r="F39" i="2"/>
  <c r="B41" i="2" s="1"/>
  <c r="Q25" i="15"/>
  <c r="H1" i="1"/>
  <c r="F24" i="1" s="1"/>
  <c r="D37" i="19"/>
  <c r="B38" i="19" s="1"/>
  <c r="I26" i="15"/>
  <c r="B26" i="15" s="1"/>
  <c r="I5" i="15"/>
  <c r="B5" i="15" s="1"/>
  <c r="I46" i="15"/>
  <c r="B46" i="15" s="1"/>
  <c r="H1" i="2"/>
  <c r="H13" i="2" s="1"/>
  <c r="H12" i="2" s="1"/>
  <c r="D45" i="2"/>
  <c r="B45" i="2" s="1"/>
  <c r="G84" i="1"/>
  <c r="I23" i="15"/>
  <c r="B23" i="15" s="1"/>
  <c r="I84" i="1"/>
  <c r="I86" i="1" s="1"/>
  <c r="H84" i="1"/>
  <c r="I20" i="15"/>
  <c r="B20" i="15" s="1"/>
  <c r="I34" i="15"/>
  <c r="B34" i="15" s="1"/>
  <c r="I42" i="15"/>
  <c r="B42" i="15" s="1"/>
  <c r="I43" i="15"/>
  <c r="B43" i="15" s="1"/>
  <c r="B27" i="2"/>
  <c r="E84" i="1"/>
  <c r="I24" i="15"/>
  <c r="B24" i="15" s="1"/>
  <c r="I38" i="15"/>
  <c r="B38" i="15" s="1"/>
  <c r="I39" i="15"/>
  <c r="B39" i="15" s="1"/>
  <c r="I45" i="15"/>
  <c r="B45" i="15" s="1"/>
  <c r="D46" i="2"/>
  <c r="B46" i="2" s="1"/>
  <c r="C49" i="2"/>
  <c r="I41" i="15"/>
  <c r="B41" i="15" s="1"/>
  <c r="I12" i="15"/>
  <c r="B12" i="15" s="1"/>
  <c r="I8" i="15"/>
  <c r="B8" i="15" s="1"/>
  <c r="I4" i="15"/>
  <c r="B4" i="15" s="1"/>
  <c r="I9" i="15"/>
  <c r="B9" i="15" s="1"/>
  <c r="I3" i="15"/>
  <c r="B3" i="15" s="1"/>
  <c r="I17" i="15"/>
  <c r="B17" i="15" s="1"/>
  <c r="I33" i="15"/>
  <c r="B33" i="15" s="1"/>
  <c r="I19" i="15"/>
  <c r="B19" i="15" s="1"/>
  <c r="I14" i="15"/>
  <c r="B14" i="15" s="1"/>
  <c r="I15" i="15"/>
  <c r="B15" i="15" s="1"/>
  <c r="I16" i="15"/>
  <c r="B16" i="15" s="1"/>
  <c r="I13" i="15"/>
  <c r="B13" i="15" s="1"/>
  <c r="I10" i="15"/>
  <c r="B10" i="15" s="1"/>
  <c r="I31" i="15"/>
  <c r="B31" i="15" s="1"/>
  <c r="I11" i="15"/>
  <c r="B11" i="15" s="1"/>
  <c r="I7" i="15"/>
  <c r="B7" i="15" s="1"/>
  <c r="I6" i="15"/>
  <c r="B6" i="15" s="1"/>
  <c r="I28" i="15"/>
  <c r="B28" i="15" s="1"/>
  <c r="I25" i="15"/>
  <c r="I2" i="15"/>
  <c r="D44" i="2"/>
  <c r="B44" i="2" s="1"/>
  <c r="I21" i="15"/>
  <c r="I18" i="15"/>
  <c r="B18" i="15" s="1"/>
  <c r="B15" i="2"/>
  <c r="I30" i="15"/>
  <c r="I27" i="15"/>
  <c r="I32" i="15"/>
  <c r="I36" i="15"/>
  <c r="B36" i="15" s="1"/>
  <c r="C18" i="2"/>
  <c r="B85" i="1"/>
  <c r="B86" i="1"/>
  <c r="B87" i="1"/>
  <c r="D34" i="2" l="1"/>
  <c r="B34" i="2"/>
  <c r="D19" i="19"/>
  <c r="B13" i="19"/>
  <c r="D46" i="19"/>
  <c r="B46" i="19" s="1"/>
  <c r="F42" i="20"/>
  <c r="B35" i="2"/>
  <c r="C57" i="20"/>
  <c r="B57" i="20" s="1"/>
  <c r="E42" i="20"/>
  <c r="B42" i="20" s="1"/>
  <c r="B12" i="19"/>
  <c r="B21" i="19"/>
  <c r="B19" i="19"/>
  <c r="F29" i="1"/>
  <c r="D36" i="2"/>
  <c r="D35" i="2"/>
  <c r="B36" i="2"/>
  <c r="F18" i="1"/>
  <c r="F34" i="1"/>
  <c r="F30" i="1"/>
  <c r="F31" i="1"/>
  <c r="F27" i="1"/>
  <c r="F33" i="1"/>
  <c r="C52" i="15"/>
  <c r="C53" i="15" s="1"/>
  <c r="F17" i="1"/>
  <c r="F22" i="1"/>
  <c r="F19" i="1"/>
  <c r="F25" i="1"/>
  <c r="F23" i="1"/>
  <c r="F32" i="1"/>
  <c r="F28" i="1"/>
  <c r="F26" i="1"/>
  <c r="F21" i="1"/>
  <c r="F20" i="1"/>
  <c r="B37" i="19"/>
  <c r="B39" i="19"/>
  <c r="E101" i="4"/>
  <c r="E90" i="4"/>
  <c r="D53" i="2"/>
  <c r="B53" i="2" s="1"/>
  <c r="B24" i="4" s="1"/>
  <c r="D59" i="2"/>
  <c r="B59" i="2" s="1"/>
  <c r="B90" i="4" s="1"/>
  <c r="D58" i="2"/>
  <c r="B58" i="2" s="1"/>
  <c r="B79" i="4" s="1"/>
  <c r="E24" i="4"/>
  <c r="D52" i="2"/>
  <c r="B52" i="2" s="1"/>
  <c r="B13" i="4" s="1"/>
  <c r="D57" i="2"/>
  <c r="B57" i="2" s="1"/>
  <c r="B68" i="4" s="1"/>
  <c r="E35" i="4"/>
  <c r="D60" i="2"/>
  <c r="B60" i="2" s="1"/>
  <c r="B101" i="4" s="1"/>
  <c r="D55" i="2"/>
  <c r="B55" i="2" s="1"/>
  <c r="B46" i="4" s="1"/>
  <c r="E57" i="4"/>
  <c r="E68" i="4"/>
  <c r="E79" i="4"/>
  <c r="E2" i="4"/>
  <c r="D54" i="2"/>
  <c r="B54" i="2" s="1"/>
  <c r="B35" i="4" s="1"/>
  <c r="E46" i="4"/>
  <c r="D56" i="2"/>
  <c r="B56" i="2" s="1"/>
  <c r="B57" i="4" s="1"/>
  <c r="E13" i="4"/>
  <c r="I85" i="1"/>
  <c r="I87" i="1"/>
  <c r="I29" i="15"/>
  <c r="B26" i="2"/>
  <c r="I37" i="15"/>
  <c r="I44" i="15"/>
  <c r="B88" i="1"/>
  <c r="F84" i="1" l="1"/>
  <c r="F87" i="1" s="1"/>
  <c r="F93" i="1" s="1"/>
  <c r="B14" i="2" s="1"/>
  <c r="C14" i="2" s="1"/>
  <c r="F85" i="1" l="1"/>
  <c r="F91" i="1" s="1"/>
  <c r="N32" i="15" s="1"/>
  <c r="B32" i="15" s="1"/>
  <c r="F86" i="1"/>
  <c r="F92" i="1" s="1"/>
  <c r="E39" i="2" s="1"/>
  <c r="R44" i="15"/>
  <c r="B39" i="2" l="1"/>
  <c r="B40" i="2"/>
  <c r="N21" i="15"/>
  <c r="B21" i="15" s="1"/>
  <c r="N2" i="15"/>
  <c r="B2" i="15" s="1"/>
  <c r="N30" i="15"/>
  <c r="B30" i="15" s="1"/>
  <c r="N27" i="15"/>
  <c r="B27" i="15" s="1"/>
  <c r="N37" i="15"/>
  <c r="B37" i="15" s="1"/>
  <c r="N29" i="15"/>
  <c r="B29" i="15" s="1"/>
  <c r="N25" i="15"/>
  <c r="B25" i="15" s="1"/>
  <c r="N44" i="15"/>
  <c r="B44" i="15" s="1"/>
</calcChain>
</file>

<file path=xl/comments1.xml><?xml version="1.0" encoding="utf-8"?>
<comments xmlns="http://schemas.openxmlformats.org/spreadsheetml/2006/main">
  <authors>
    <author>Paul A.</author>
  </authors>
  <commentList>
    <comment ref="E14" authorId="0" shapeId="0">
      <text>
        <r>
          <rPr>
            <b/>
            <sz val="9"/>
            <color indexed="81"/>
            <rFont val="Tahoma"/>
            <family val="2"/>
          </rPr>
          <t>Paul A.:</t>
        </r>
        <r>
          <rPr>
            <sz val="9"/>
            <color indexed="81"/>
            <rFont val="Tahoma"/>
            <family val="2"/>
          </rPr>
          <t xml:space="preserve">
Grand pas
</t>
        </r>
      </text>
    </comment>
  </commentList>
</comments>
</file>

<file path=xl/sharedStrings.xml><?xml version="1.0" encoding="utf-8"?>
<sst xmlns="http://schemas.openxmlformats.org/spreadsheetml/2006/main" count="864" uniqueCount="443">
  <si>
    <t>Nom</t>
  </si>
  <si>
    <t>Quantité</t>
  </si>
  <si>
    <t>Prix(po)</t>
  </si>
  <si>
    <t>Poids(kg)</t>
  </si>
  <si>
    <t>Total prix(po)</t>
  </si>
  <si>
    <t>Total poids(kg)</t>
  </si>
  <si>
    <t>nls</t>
  </si>
  <si>
    <t>nivS</t>
  </si>
  <si>
    <t>po</t>
  </si>
  <si>
    <t>NGE</t>
  </si>
  <si>
    <t>Classe</t>
  </si>
  <si>
    <t>Niveau</t>
  </si>
  <si>
    <t>NLS</t>
  </si>
  <si>
    <t>Alignement</t>
  </si>
  <si>
    <t>Divinité</t>
  </si>
  <si>
    <t>Taille</t>
  </si>
  <si>
    <t>Poids</t>
  </si>
  <si>
    <t>Force</t>
  </si>
  <si>
    <t>Dextérité</t>
  </si>
  <si>
    <t>Constitution</t>
  </si>
  <si>
    <t>Intelligence</t>
  </si>
  <si>
    <t>Sagesse</t>
  </si>
  <si>
    <t>Charisme</t>
  </si>
  <si>
    <t>Total</t>
  </si>
  <si>
    <t>Modificateur</t>
  </si>
  <si>
    <t>Base</t>
  </si>
  <si>
    <t>Altération</t>
  </si>
  <si>
    <t>Divers</t>
  </si>
  <si>
    <t>BBA</t>
  </si>
  <si>
    <t>Lutte</t>
  </si>
  <si>
    <t>Vitesse</t>
  </si>
  <si>
    <t>Initiative</t>
  </si>
  <si>
    <t>Réflexes</t>
  </si>
  <si>
    <t>Vigueur</t>
  </si>
  <si>
    <t>Volonté</t>
  </si>
  <si>
    <t>Caractéristique</t>
  </si>
  <si>
    <t>Spécial</t>
  </si>
  <si>
    <t>CA</t>
  </si>
  <si>
    <t>Armure</t>
  </si>
  <si>
    <t>Bouclier</t>
  </si>
  <si>
    <t>Naturelle</t>
  </si>
  <si>
    <t>Parade</t>
  </si>
  <si>
    <t>PV totaux</t>
  </si>
  <si>
    <t>Dégâts</t>
  </si>
  <si>
    <t>PV restants</t>
  </si>
  <si>
    <t>Degré</t>
  </si>
  <si>
    <t>Art de la magie</t>
  </si>
  <si>
    <t>Concentration</t>
  </si>
  <si>
    <t>Perception auditive</t>
  </si>
  <si>
    <t>Détection</t>
  </si>
  <si>
    <t>Par jour</t>
  </si>
  <si>
    <t>Sorts</t>
  </si>
  <si>
    <t>Bonus</t>
  </si>
  <si>
    <t>Aptitudes de classe</t>
  </si>
  <si>
    <t>Dons</t>
  </si>
  <si>
    <t>Langues</t>
  </si>
  <si>
    <t>Niveau 0</t>
  </si>
  <si>
    <t>Préparé</t>
  </si>
  <si>
    <t>Utilisé</t>
  </si>
  <si>
    <t>Niveau 1</t>
  </si>
  <si>
    <t>Niveau 2</t>
  </si>
  <si>
    <t>Niveau 3</t>
  </si>
  <si>
    <t>Niveau 4</t>
  </si>
  <si>
    <t>Niveau 5</t>
  </si>
  <si>
    <t>Niveau 6</t>
  </si>
  <si>
    <t>Niveau 7</t>
  </si>
  <si>
    <t>DD</t>
  </si>
  <si>
    <t>Racial</t>
  </si>
  <si>
    <t>Attaque</t>
  </si>
  <si>
    <t>Critique</t>
  </si>
  <si>
    <t>Type</t>
  </si>
  <si>
    <t>Parchemins</t>
  </si>
  <si>
    <t>pp</t>
  </si>
  <si>
    <t>pc</t>
  </si>
  <si>
    <t>pa</t>
  </si>
  <si>
    <t>charge</t>
  </si>
  <si>
    <t>Baguettes</t>
  </si>
  <si>
    <t>Potions</t>
  </si>
  <si>
    <t>sac à dos</t>
  </si>
  <si>
    <t>Décryptage</t>
  </si>
  <si>
    <t>Fouille</t>
  </si>
  <si>
    <t>Compétences Roublard</t>
  </si>
  <si>
    <t>Bluff</t>
  </si>
  <si>
    <t>Contrefaçon</t>
  </si>
  <si>
    <t>Crochetage</t>
  </si>
  <si>
    <t>Déguisement</t>
  </si>
  <si>
    <t>Déplacement silencieux</t>
  </si>
  <si>
    <t>Diplomatie</t>
  </si>
  <si>
    <t>Discrétion</t>
  </si>
  <si>
    <t>Equilibre</t>
  </si>
  <si>
    <t>Escalade</t>
  </si>
  <si>
    <t>Escamotage</t>
  </si>
  <si>
    <t>Estimation</t>
  </si>
  <si>
    <t>Evasion</t>
  </si>
  <si>
    <t>Intimidation</t>
  </si>
  <si>
    <t>Maîtrise des cordes</t>
  </si>
  <si>
    <t>Natation</t>
  </si>
  <si>
    <t>Psychologie</t>
  </si>
  <si>
    <t>Saut</t>
  </si>
  <si>
    <t>Description</t>
  </si>
  <si>
    <t>Chance</t>
  </si>
  <si>
    <t>Origine</t>
  </si>
  <si>
    <t>Facteur de poids =</t>
  </si>
  <si>
    <t>-</t>
  </si>
  <si>
    <t>Equitation</t>
  </si>
  <si>
    <t>Déplacement</t>
  </si>
  <si>
    <t>Autre</t>
  </si>
  <si>
    <t>Objets magiques</t>
  </si>
  <si>
    <t>Malus enc.</t>
  </si>
  <si>
    <t>Synergie</t>
  </si>
  <si>
    <t>Disponible</t>
  </si>
  <si>
    <t>DV</t>
  </si>
  <si>
    <t>PV</t>
  </si>
  <si>
    <t>Compétences</t>
  </si>
  <si>
    <t>Contact</t>
  </si>
  <si>
    <t>Init</t>
  </si>
  <si>
    <t>1D3</t>
  </si>
  <si>
    <t>Dé</t>
  </si>
  <si>
    <t>Attaque en finesse</t>
  </si>
  <si>
    <t>Carac</t>
  </si>
  <si>
    <t>M</t>
  </si>
  <si>
    <t>D8</t>
  </si>
  <si>
    <t>8 cases</t>
  </si>
  <si>
    <t>Pris au dépourvu</t>
  </si>
  <si>
    <t>Odorat</t>
  </si>
  <si>
    <t>Vision nocturne</t>
  </si>
  <si>
    <t>Résistance</t>
  </si>
  <si>
    <t>XP</t>
  </si>
  <si>
    <t xml:space="preserve">Joueur </t>
  </si>
  <si>
    <t>Jet au niveau</t>
  </si>
  <si>
    <t>Score au dé</t>
  </si>
  <si>
    <t>1 (jet max)</t>
  </si>
  <si>
    <t>F. de portée</t>
  </si>
  <si>
    <t>Arme</t>
  </si>
  <si>
    <t>Modif. dégâts</t>
  </si>
  <si>
    <t>A. de maître</t>
  </si>
  <si>
    <t>A. Magique +</t>
  </si>
  <si>
    <t>Somme</t>
  </si>
  <si>
    <t>Calcul auto</t>
  </si>
  <si>
    <t>Commun</t>
  </si>
  <si>
    <t>Facteur de charge =</t>
  </si>
  <si>
    <t>Total des totaux</t>
  </si>
  <si>
    <t>Connaissances (mystères)</t>
  </si>
  <si>
    <t>Acrobaties</t>
  </si>
  <si>
    <t>Connaissances (archit./ingénérie)</t>
  </si>
  <si>
    <t>Connaissances (explo. souterraine)</t>
  </si>
  <si>
    <t>Connaissances (folklore local)</t>
  </si>
  <si>
    <t>Connaissances (géographie)</t>
  </si>
  <si>
    <t>Connaissances (histoire)</t>
  </si>
  <si>
    <t>Connaissances (nature)</t>
  </si>
  <si>
    <t>Connaissances (noblesse et royauté)</t>
  </si>
  <si>
    <t>Connaissances (plans)</t>
  </si>
  <si>
    <t>Connaissances (religion)</t>
  </si>
  <si>
    <t>Désamorçage/sabotage</t>
  </si>
  <si>
    <t>Dressage</t>
  </si>
  <si>
    <t>Langue</t>
  </si>
  <si>
    <t>Renseignements</t>
  </si>
  <si>
    <t>Survie</t>
  </si>
  <si>
    <t>Utilisation d'objets magiques</t>
  </si>
  <si>
    <t>Race</t>
  </si>
  <si>
    <t>HC</t>
  </si>
  <si>
    <t>OK ?</t>
  </si>
  <si>
    <t>Représentation (…)</t>
  </si>
  <si>
    <t>Dégâts non-létaux</t>
  </si>
  <si>
    <t>Niveaux négatifs</t>
  </si>
  <si>
    <t>Temporaire</t>
  </si>
  <si>
    <t>Catégorie de taille</t>
  </si>
  <si>
    <t>Bonus de taille</t>
  </si>
  <si>
    <t>Prénom</t>
  </si>
  <si>
    <t>Contact à distance</t>
  </si>
  <si>
    <t>Esquive</t>
  </si>
  <si>
    <t>Autres</t>
  </si>
  <si>
    <t xml:space="preserve">      Défense totale pour ce tour</t>
  </si>
  <si>
    <t>Détails</t>
  </si>
  <si>
    <t>Profession (…)</t>
  </si>
  <si>
    <t>Classe 1</t>
  </si>
  <si>
    <t>Dégâts --&gt;</t>
  </si>
  <si>
    <t>Statut</t>
  </si>
  <si>
    <t>Classe 2</t>
  </si>
  <si>
    <t>Classe 3</t>
  </si>
  <si>
    <t>Deg. effectif</t>
  </si>
  <si>
    <t>Deg. Max</t>
  </si>
  <si>
    <t>Autres synergies</t>
  </si>
  <si>
    <t>Carac.</t>
  </si>
  <si>
    <t>Entrai.</t>
  </si>
  <si>
    <t>Racial (m)</t>
  </si>
  <si>
    <t>Bonus/malus (m)</t>
  </si>
  <si>
    <t>Modificateurs déplacement</t>
  </si>
  <si>
    <t>Somme des liquidités</t>
  </si>
  <si>
    <t>Somme pièces</t>
  </si>
  <si>
    <t>Tête</t>
  </si>
  <si>
    <t>Yeux</t>
  </si>
  <si>
    <t>Cou</t>
  </si>
  <si>
    <t>Epaule</t>
  </si>
  <si>
    <t>Anneau1</t>
  </si>
  <si>
    <t>Anneau2</t>
  </si>
  <si>
    <t>Mains</t>
  </si>
  <si>
    <t>Bras ou poignets</t>
  </si>
  <si>
    <t>Corps</t>
  </si>
  <si>
    <t>Torse</t>
  </si>
  <si>
    <t>Pieds</t>
  </si>
  <si>
    <t>Armes et autres objets</t>
  </si>
  <si>
    <t>Carac. Magie</t>
  </si>
  <si>
    <t>Malus</t>
  </si>
  <si>
    <t>Modif. Taille</t>
  </si>
  <si>
    <t>Gemmes</t>
  </si>
  <si>
    <t>Autres objets de valeur</t>
  </si>
  <si>
    <t>Somme gemmes</t>
  </si>
  <si>
    <t>Autres objets de valeur (prix à la vente)</t>
  </si>
  <si>
    <t>Premiers secours</t>
  </si>
  <si>
    <t>Restant</t>
  </si>
  <si>
    <t>Tranchant</t>
  </si>
  <si>
    <t>1D6</t>
  </si>
  <si>
    <t>Artisanat (...)</t>
  </si>
  <si>
    <t>Type :</t>
  </si>
  <si>
    <t>Aucune</t>
  </si>
  <si>
    <t>Total Malus</t>
  </si>
  <si>
    <t>Total Dex max</t>
  </si>
  <si>
    <t>Calculée (m)</t>
  </si>
  <si>
    <t>Calculée (cases)</t>
  </si>
  <si>
    <t>Intermédiaire</t>
  </si>
  <si>
    <t>Légère</t>
  </si>
  <si>
    <t>Lourde</t>
  </si>
  <si>
    <t>Pousser</t>
  </si>
  <si>
    <t>Au-dessus de la tête</t>
  </si>
  <si>
    <t>A quelques centimètres du sol</t>
  </si>
  <si>
    <t>Malus encombrement</t>
  </si>
  <si>
    <t>Dex max encombrement</t>
  </si>
  <si>
    <t>Vitesse réduite encomb.</t>
  </si>
  <si>
    <t>Vitesse réduite armure</t>
  </si>
  <si>
    <t>Malus armure + bouclier</t>
  </si>
  <si>
    <t>Total Vitesse réduite à</t>
  </si>
  <si>
    <t>Dex max armure/bouclier</t>
  </si>
  <si>
    <t>Soulever</t>
  </si>
  <si>
    <t>Lever</t>
  </si>
  <si>
    <t>Niveau 8</t>
  </si>
  <si>
    <t>Niveau 9</t>
  </si>
  <si>
    <t>Moral</t>
  </si>
  <si>
    <t>Créature magique</t>
  </si>
  <si>
    <t>Age</t>
  </si>
  <si>
    <t>Tranche d'age</t>
  </si>
  <si>
    <t>Serval (chacal)</t>
  </si>
  <si>
    <t>P</t>
  </si>
  <si>
    <t>Niveaux de Druide</t>
  </si>
  <si>
    <t>Tranche de Druide</t>
  </si>
  <si>
    <t>Bonus Druide</t>
  </si>
  <si>
    <t>Druide</t>
  </si>
  <si>
    <t>Pattes arrières</t>
  </si>
  <si>
    <t>Morsure</t>
  </si>
  <si>
    <t>Griffe</t>
  </si>
  <si>
    <t>Pouvoirs Druide</t>
  </si>
  <si>
    <t>Peut utiliser sa Dextérité pour toucher à la place de sa Force</t>
  </si>
  <si>
    <t>Bond</t>
  </si>
  <si>
    <t>1D3 dommages</t>
  </si>
  <si>
    <t xml:space="preserve">Bonus raciaux </t>
  </si>
  <si>
    <t>Saut agile</t>
  </si>
  <si>
    <t>Utilise sa Dextérité plutôt que sa force pour les jets de Saut</t>
  </si>
  <si>
    <t>+4 Equilibre, Escalade, Discrétion Déplacement silencieux (bonus monte à +8 dans les hautes herbes), +8 en Saut et Perception auditive</t>
  </si>
  <si>
    <t>Peut faire une attaque à outrance lors d'une charge (dont 2 Pattes arrières).</t>
  </si>
  <si>
    <t>+4 de moral aux JDS vs les sorts et effets de l'école de l'enchantement</t>
  </si>
  <si>
    <t>Annule les dommages si le JDS de Réflexes est réussi (au lieu de les diviser par deux)</t>
  </si>
  <si>
    <t>Permet d'affecter également le compagnon avec un sort</t>
  </si>
  <si>
    <t>Dirige le compagnon sur action libre, le pousse sur actin simple, +4 de circonstances pour les jets d'empathie sauvage et Dressage vs son compagnon</t>
  </si>
  <si>
    <t>18-20x2</t>
  </si>
  <si>
    <t>Contondant</t>
  </si>
  <si>
    <t>Non</t>
  </si>
  <si>
    <t>Compagnon animal</t>
  </si>
  <si>
    <t>Druide 1</t>
  </si>
  <si>
    <t>Instinct naturel</t>
  </si>
  <si>
    <t>Druide 2</t>
  </si>
  <si>
    <t>Druide 3</t>
  </si>
  <si>
    <t>Absence de traces</t>
  </si>
  <si>
    <t>Forme animale</t>
  </si>
  <si>
    <t>Druide 5,6</t>
  </si>
  <si>
    <t>Empathie sauvage</t>
  </si>
  <si>
    <t>Sandskimmer</t>
  </si>
  <si>
    <t>Druide 4</t>
  </si>
  <si>
    <t>Endurance à la chaleur</t>
  </si>
  <si>
    <t xml:space="preserve">sur </t>
  </si>
  <si>
    <t>Localiser eau potable</t>
  </si>
  <si>
    <t>Dessication de corps</t>
  </si>
  <si>
    <t>S. des Marées</t>
  </si>
  <si>
    <t>SdM 1</t>
  </si>
  <si>
    <t>SdM 2,4,7</t>
  </si>
  <si>
    <t>Vitesse augmentée</t>
  </si>
  <si>
    <t>Endurance à la chaleur Sup.</t>
  </si>
  <si>
    <t>SdM 6</t>
  </si>
  <si>
    <t>SdM  3</t>
  </si>
  <si>
    <t>Augmente la vitesse de 1,5m sur de la terre ou du sable</t>
  </si>
  <si>
    <t>Invocation d'élémentaire</t>
  </si>
  <si>
    <t>Invoque un élémentaire de sous type eau de taille G (1/j). Le NLS est de :</t>
  </si>
  <si>
    <t>Invocation d'élementaire</t>
  </si>
  <si>
    <t>Comme le sort, plus la taille et la distance de l'eau dans les corps et si l'eau est potable. Si non potable, en connait les raisons. Action complexe pour lancer, puis dure 10 min.</t>
  </si>
  <si>
    <t>3/j : à 9m, Vigueur DD :</t>
  </si>
  <si>
    <t>ou  inflige :</t>
  </si>
  <si>
    <t>D8 dégâts de dessication et fatigue jusqu'à ce que la créature boive 1/4 de son poids en eau. Si tuée, anime un mephit d'eau après un round et dure :</t>
  </si>
  <si>
    <t>min</t>
  </si>
  <si>
    <t>+2 contres les effets de feu et de chaleur</t>
  </si>
  <si>
    <t>Résistance au feu (5), supporte très bien la chaleur</t>
  </si>
  <si>
    <t>Pas de malus dans le sable normal, traite le sable mouvant comme du sable normal</t>
  </si>
  <si>
    <t>Ne laisse pas de traces s'il le souhaite</t>
  </si>
  <si>
    <t>+2 Connaissance (nature)et Survie</t>
  </si>
  <si>
    <t>Permet de faire de la diplomatie avec les animaux sir un jet de 1D20 +</t>
  </si>
  <si>
    <t>Aeshar</t>
  </si>
  <si>
    <t>La nature</t>
  </si>
  <si>
    <t>Faronwiëar</t>
  </si>
  <si>
    <t>Robin</t>
  </si>
  <si>
    <t>Jeune adulte</t>
  </si>
  <si>
    <t>Neutre strict</t>
  </si>
  <si>
    <t>Arc court composite</t>
  </si>
  <si>
    <t>18m</t>
  </si>
  <si>
    <t>20x3</t>
  </si>
  <si>
    <t>Elfe désertique</t>
  </si>
  <si>
    <t>Incantation animale</t>
  </si>
  <si>
    <t>Pistage</t>
  </si>
  <si>
    <t>Lien naturel</t>
  </si>
  <si>
    <t>1m50</t>
  </si>
  <si>
    <t>50kg</t>
  </si>
  <si>
    <t>+2 vs Enchantements</t>
  </si>
  <si>
    <t>Concentration du scorpion</t>
  </si>
  <si>
    <t>+4 contre les effets mentaux</t>
  </si>
  <si>
    <t>+2 vs Enchantements, +4 contre les effets mentaux</t>
  </si>
  <si>
    <t>Langue des druides</t>
  </si>
  <si>
    <t>Résistance aux enchant.</t>
  </si>
  <si>
    <t>Maniement des armes</t>
  </si>
  <si>
    <t>Cimeterre, rapière et arc court (et court composite)</t>
  </si>
  <si>
    <t>Amis des animaux</t>
  </si>
  <si>
    <t>+2 Dressage et Equitation</t>
  </si>
  <si>
    <t>Endurance à la chaleur (elfe)</t>
  </si>
  <si>
    <t>+4 contre les effets de la chaleur</t>
  </si>
  <si>
    <t>Œil de lynx</t>
  </si>
  <si>
    <t>+2 en Détection</t>
  </si>
  <si>
    <t>Immunité elfique</t>
  </si>
  <si>
    <t>Immunité  aux effets de sommeil, médite 4h par nuit</t>
  </si>
  <si>
    <t>1D4</t>
  </si>
  <si>
    <t>Réduit le malus des attaques secondaires ou en fournit une</t>
  </si>
  <si>
    <t>Cimeterre +1</t>
  </si>
  <si>
    <t>Oui</t>
  </si>
  <si>
    <t>Arc court +1</t>
  </si>
  <si>
    <t>Flèche</t>
  </si>
  <si>
    <t>Médaillon de Sagesse +4</t>
  </si>
  <si>
    <t>Cuirasse en bois cendré +1</t>
  </si>
  <si>
    <t>Légère, CA +6, DexMax +4, Malus -2</t>
  </si>
  <si>
    <t>Ecu en ébénite +1</t>
  </si>
  <si>
    <t>Améliore le niveau de Druide de +3 pour les calculs du compagnon animal (à concurrence du NGE)</t>
  </si>
  <si>
    <t>Peut lancer des sorts sous forme animale</t>
  </si>
  <si>
    <t>Peut se lier à des lieux</t>
  </si>
  <si>
    <t>NGE 1</t>
  </si>
  <si>
    <t>NGE 3</t>
  </si>
  <si>
    <t>NGE 6</t>
  </si>
  <si>
    <t>Peut pister avec la Survie</t>
  </si>
  <si>
    <t>+2 CA, pas de malus</t>
  </si>
  <si>
    <t>Baguette de soins importants</t>
  </si>
  <si>
    <t xml:space="preserve">Carafe intarissable </t>
  </si>
  <si>
    <t>Voir ici</t>
  </si>
  <si>
    <t>NGE 9</t>
  </si>
  <si>
    <t>NGE 12</t>
  </si>
  <si>
    <t>Elfique</t>
  </si>
  <si>
    <t>Efle</t>
  </si>
  <si>
    <t>INT +1</t>
  </si>
  <si>
    <t>INT +2</t>
  </si>
  <si>
    <t>INT +3</t>
  </si>
  <si>
    <t>Grand pas</t>
  </si>
  <si>
    <t>Colonne de feu</t>
  </si>
  <si>
    <t>Soins important</t>
  </si>
  <si>
    <t>Soins modérés</t>
  </si>
  <si>
    <t>Orientation</t>
  </si>
  <si>
    <t>DV 3</t>
  </si>
  <si>
    <t>DV 6</t>
  </si>
  <si>
    <t>Tours bonus</t>
  </si>
  <si>
    <t>DV 1</t>
  </si>
  <si>
    <t>Maximum</t>
  </si>
  <si>
    <t>2 dons --&gt; habitant du désert ? http://www.gemmaline.com/dons/dons-habitant-du-desert-695.htm</t>
  </si>
  <si>
    <t>Tours</t>
  </si>
  <si>
    <t>4 tours</t>
  </si>
  <si>
    <t>Vestige</t>
  </si>
  <si>
    <t>Caractéristiques</t>
  </si>
  <si>
    <t>Peut se transformer 2/j en animal avec un maximum de 6DV de taille P ou M</t>
  </si>
  <si>
    <t>Mètres</t>
  </si>
  <si>
    <t>Forme</t>
  </si>
  <si>
    <t>Alt. avec FA.</t>
  </si>
  <si>
    <t>avec FA</t>
  </si>
  <si>
    <t>Animal</t>
  </si>
  <si>
    <t xml:space="preserve">       Forme animale :</t>
  </si>
  <si>
    <t>CA avec FA</t>
  </si>
  <si>
    <t>Sélection</t>
  </si>
  <si>
    <t>CA Naturelle</t>
  </si>
  <si>
    <t>Taille avec FA</t>
  </si>
  <si>
    <t>Science de la lutte</t>
  </si>
  <si>
    <t>Bonus vitesse</t>
  </si>
  <si>
    <t>+2 dans la brousse</t>
  </si>
  <si>
    <t>+2 Discrétion dans la brousse</t>
  </si>
  <si>
    <t>Serval</t>
  </si>
  <si>
    <t>Etreinte</t>
  </si>
  <si>
    <t>Peut engager une lutte sur action libre, sans attaque d'opportunité après une morsure réussie. Peut ensuite utiliser ses pattes arrières</t>
  </si>
  <si>
    <t>Particularités</t>
  </si>
  <si>
    <t>6 points de comp</t>
  </si>
  <si>
    <t>1 point de carac</t>
  </si>
  <si>
    <t>Durée (h)</t>
  </si>
  <si>
    <t>Soigne (PV)</t>
  </si>
  <si>
    <t>Vautour</t>
  </si>
  <si>
    <t>Bec (1D4)</t>
  </si>
  <si>
    <t>Une attaque simple est composée d'une griffe</t>
  </si>
  <si>
    <t>Une attaque à outrance de base est composée de 2 griffes et 1 morsure</t>
  </si>
  <si>
    <t>Serpent C.</t>
  </si>
  <si>
    <t>Esc, et nage</t>
  </si>
  <si>
    <t>Constriction</t>
  </si>
  <si>
    <t>Peut faire 10 aux jets d'Escalade</t>
  </si>
  <si>
    <t>Peut faire 10 aux jets de Nage si en danger et bonus de +8</t>
  </si>
  <si>
    <t>Peut courir en nageant</t>
  </si>
  <si>
    <t>Serpent V.</t>
  </si>
  <si>
    <t>Peut faire 10 aux jets de Nage si en danger et bonus de +9</t>
  </si>
  <si>
    <t>Morsure (1D4)</t>
  </si>
  <si>
    <t>Morsure (1D3)</t>
  </si>
  <si>
    <t>Venin (DD11, 1D6/1D6 Con)</t>
  </si>
  <si>
    <t>Guépard</t>
  </si>
  <si>
    <t>Vol (marche 3m)</t>
  </si>
  <si>
    <t>Morsure (1D6)</t>
  </si>
  <si>
    <t>Croc en jambe (+3)</t>
  </si>
  <si>
    <t>Crocodile</t>
  </si>
  <si>
    <t>Morsure (1D8) ou Queue (1D12)</t>
  </si>
  <si>
    <t>+4 Discrétion dans l'eau</t>
  </si>
  <si>
    <t>Monte à +10 en ne laissant dépasser que les narines et les yeux</t>
  </si>
  <si>
    <t>Nage (marche 6m)</t>
  </si>
  <si>
    <t>Faucon</t>
  </si>
  <si>
    <t>TP</t>
  </si>
  <si>
    <t>Pierre ion Bleu pâle (+2 Force)</t>
  </si>
  <si>
    <t>Pierre ion Rose vif (+2 Constitution)</t>
  </si>
  <si>
    <t>Varan</t>
  </si>
  <si>
    <t>Marche ou nage</t>
  </si>
  <si>
    <t>Morsure (1D8)</t>
  </si>
  <si>
    <t>+2 Discrétion dans la végétation épaisse</t>
  </si>
  <si>
    <t>Serres (1D4)</t>
  </si>
  <si>
    <t>Aigle</t>
  </si>
  <si>
    <t>Outrance : 2 Serres et Bec (1D4, Att-5)</t>
  </si>
  <si>
    <t xml:space="preserve">       Croissance animale (de P à G)</t>
  </si>
  <si>
    <t>Donne également une RD(10/magie)</t>
  </si>
  <si>
    <t>Griffe 1D3</t>
  </si>
  <si>
    <t>Outrance : 2 Griffes, Morsure (1D4, à Att-5)</t>
  </si>
  <si>
    <t>Bond (outrance + pattes arrières en charge)</t>
  </si>
  <si>
    <t>2 Pattes arrières (1D3)</t>
  </si>
  <si>
    <t>Attaque Forme animale</t>
  </si>
  <si>
    <t>2 Griffes (1D2, à Att-5)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</si>
</sst>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 _€_-;\-* #,##0.00\ _€_-;_-* &quot;-&quot;??\ _€_-;_-@_-"/>
  </numFmts>
  <fonts count="16" x14ac:knownFonts="1">
    <font>
      <sz val="11"/>
      <color theme="1"/>
      <name val="Calibri"/>
      <family val="2"/>
      <scheme val="minor"/>
    </font>
    <font>
      <sz val="11"/>
      <color indexed="8"/>
      <name val="Calibri"/>
      <family val="2"/>
    </font>
    <font>
      <sz val="11"/>
      <color indexed="8"/>
      <name val="Calibri"/>
      <family val="2"/>
    </font>
    <font>
      <sz val="11"/>
      <name val="Calibri"/>
      <family val="2"/>
    </font>
    <font>
      <sz val="11"/>
      <color indexed="10"/>
      <name val="Calibri"/>
      <family val="2"/>
    </font>
    <font>
      <i/>
      <sz val="11"/>
      <color indexed="8"/>
      <name val="Calibri"/>
      <family val="2"/>
    </font>
    <font>
      <i/>
      <sz val="11"/>
      <color indexed="22"/>
      <name val="Calibri"/>
      <family val="2"/>
    </font>
    <font>
      <sz val="11"/>
      <color theme="1"/>
      <name val="Calibri"/>
      <family val="2"/>
      <scheme val="minor"/>
    </font>
    <font>
      <i/>
      <sz val="11"/>
      <color theme="1"/>
      <name val="Calibri"/>
      <family val="2"/>
      <scheme val="minor"/>
    </font>
    <font>
      <sz val="11"/>
      <name val="Calibri"/>
      <family val="2"/>
      <scheme val="minor"/>
    </font>
    <font>
      <sz val="11"/>
      <color rgb="FFFF0000"/>
      <name val="Calibri"/>
      <family val="2"/>
      <scheme val="minor"/>
    </font>
    <font>
      <u/>
      <sz val="11"/>
      <color theme="10"/>
      <name val="Calibri"/>
      <family val="2"/>
      <scheme val="minor"/>
    </font>
    <font>
      <i/>
      <u/>
      <sz val="11"/>
      <color theme="10"/>
      <name val="Calibri"/>
      <family val="2"/>
      <scheme val="minor"/>
    </font>
    <font>
      <sz val="9"/>
      <color indexed="81"/>
      <name val="Tahoma"/>
      <family val="2"/>
    </font>
    <font>
      <b/>
      <sz val="9"/>
      <color indexed="81"/>
      <name val="Tahoma"/>
      <family val="2"/>
    </font>
    <font>
      <sz val="11"/>
      <color rgb="FFFF0000"/>
      <name val="Calibri"/>
      <family val="2"/>
    </font>
  </fonts>
  <fills count="8">
    <fill>
      <patternFill patternType="none"/>
    </fill>
    <fill>
      <patternFill patternType="gray125"/>
    </fill>
    <fill>
      <patternFill patternType="solid">
        <fgColor indexed="22"/>
        <bgColor indexed="64"/>
      </patternFill>
    </fill>
    <fill>
      <patternFill patternType="solid">
        <fgColor indexed="50"/>
        <bgColor indexed="64"/>
      </patternFill>
    </fill>
    <fill>
      <patternFill patternType="solid">
        <fgColor indexed="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14999847407452621"/>
        <bgColor indexed="64"/>
      </patternFill>
    </fill>
  </fills>
  <borders count="44">
    <border>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s>
  <cellStyleXfs count="19">
    <xf numFmtId="0" fontId="0" fillId="0" borderId="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1" fillId="0" borderId="0" applyNumberFormat="0" applyFill="0" applyBorder="0" applyAlignment="0" applyProtection="0"/>
  </cellStyleXfs>
  <cellXfs count="309">
    <xf numFmtId="0" fontId="0" fillId="0" borderId="0" xfId="0"/>
    <xf numFmtId="0" fontId="0" fillId="0" borderId="0" xfId="0" applyFont="1"/>
    <xf numFmtId="0" fontId="0" fillId="0" borderId="0" xfId="0" applyFont="1" applyFill="1" applyBorder="1"/>
    <xf numFmtId="4" fontId="7" fillId="0" borderId="0" xfId="1" applyNumberFormat="1" applyFont="1" applyAlignment="1">
      <alignment horizontal="center"/>
    </xf>
    <xf numFmtId="4" fontId="0" fillId="0" borderId="0" xfId="0" applyNumberFormat="1" applyFont="1" applyAlignment="1">
      <alignment horizontal="center"/>
    </xf>
    <xf numFmtId="0" fontId="0" fillId="0" borderId="0" xfId="0" applyFont="1" applyAlignment="1">
      <alignment horizontal="center"/>
    </xf>
    <xf numFmtId="0" fontId="0" fillId="0" borderId="0" xfId="0" applyAlignment="1">
      <alignment horizontal="center"/>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10" xfId="0" applyBorder="1" applyAlignment="1">
      <alignment horizontal="center"/>
    </xf>
    <xf numFmtId="0" fontId="0" fillId="0" borderId="3" xfId="0" applyBorder="1" applyAlignment="1">
      <alignment horizontal="center"/>
    </xf>
    <xf numFmtId="0" fontId="0" fillId="0" borderId="10" xfId="0" applyBorder="1"/>
    <xf numFmtId="0" fontId="0" fillId="0" borderId="0" xfId="0" applyFill="1" applyBorder="1" applyAlignment="1">
      <alignment horizontal="center"/>
    </xf>
    <xf numFmtId="0" fontId="0" fillId="0" borderId="0" xfId="0" applyBorder="1"/>
    <xf numFmtId="0" fontId="0" fillId="0" borderId="1" xfId="0" applyBorder="1"/>
    <xf numFmtId="0" fontId="0" fillId="0" borderId="1" xfId="0" applyFill="1" applyBorder="1" applyAlignment="1">
      <alignment horizontal="center"/>
    </xf>
    <xf numFmtId="0" fontId="0" fillId="0" borderId="0" xfId="0" applyFill="1" applyBorder="1"/>
    <xf numFmtId="11" fontId="0" fillId="0" borderId="2" xfId="0" applyNumberFormat="1" applyBorder="1"/>
    <xf numFmtId="0" fontId="0" fillId="0" borderId="0" xfId="0" applyFill="1" applyAlignment="1">
      <alignment horizontal="center"/>
    </xf>
    <xf numFmtId="0" fontId="0" fillId="0" borderId="0" xfId="0" applyFill="1"/>
    <xf numFmtId="0" fontId="0" fillId="0" borderId="0" xfId="0" quotePrefix="1" applyFill="1"/>
    <xf numFmtId="0" fontId="0" fillId="0" borderId="16" xfId="0" applyFill="1" applyBorder="1" applyAlignment="1">
      <alignment horizontal="center"/>
    </xf>
    <xf numFmtId="0" fontId="0" fillId="0" borderId="17" xfId="0" applyFill="1" applyBorder="1" applyAlignment="1">
      <alignment horizontal="center"/>
    </xf>
    <xf numFmtId="0" fontId="0" fillId="0" borderId="5" xfId="0" applyFill="1" applyBorder="1" applyAlignment="1">
      <alignment horizontal="center"/>
    </xf>
    <xf numFmtId="0" fontId="0" fillId="0" borderId="7" xfId="0" applyFill="1" applyBorder="1" applyAlignment="1">
      <alignment horizontal="center"/>
    </xf>
    <xf numFmtId="0" fontId="0" fillId="0" borderId="1" xfId="0" applyBorder="1"/>
    <xf numFmtId="0" fontId="0" fillId="0" borderId="10" xfId="0" applyBorder="1"/>
    <xf numFmtId="0" fontId="5" fillId="0" borderId="0" xfId="0" quotePrefix="1" applyFont="1" applyFill="1"/>
    <xf numFmtId="0" fontId="5" fillId="0" borderId="0" xfId="0" applyFont="1" applyFill="1"/>
    <xf numFmtId="0" fontId="5" fillId="0" borderId="0" xfId="0" applyFont="1" applyFill="1" applyBorder="1"/>
    <xf numFmtId="0" fontId="5" fillId="0" borderId="0" xfId="0" applyFont="1"/>
    <xf numFmtId="0" fontId="5" fillId="0" borderId="0" xfId="0" quotePrefix="1" applyFont="1"/>
    <xf numFmtId="0" fontId="0" fillId="0" borderId="18" xfId="0" applyBorder="1"/>
    <xf numFmtId="0" fontId="0" fillId="2" borderId="1" xfId="0" applyFill="1" applyBorder="1"/>
    <xf numFmtId="0" fontId="0" fillId="2" borderId="0" xfId="0" applyFill="1"/>
    <xf numFmtId="4" fontId="0" fillId="0" borderId="0" xfId="0" applyNumberFormat="1" applyFont="1" applyBorder="1" applyAlignment="1">
      <alignment horizontal="center"/>
    </xf>
    <xf numFmtId="0" fontId="0" fillId="2" borderId="1" xfId="0" applyFill="1" applyBorder="1"/>
    <xf numFmtId="4" fontId="7" fillId="2" borderId="1" xfId="1" applyNumberFormat="1" applyFont="1" applyFill="1" applyBorder="1" applyAlignment="1">
      <alignment horizontal="center"/>
    </xf>
    <xf numFmtId="4" fontId="0" fillId="2" borderId="1" xfId="0" applyNumberFormat="1" applyFont="1" applyFill="1" applyBorder="1" applyAlignment="1">
      <alignment horizontal="center"/>
    </xf>
    <xf numFmtId="43" fontId="7" fillId="2" borderId="1" xfId="1" applyFont="1" applyFill="1" applyBorder="1" applyAlignment="1">
      <alignment horizontal="center"/>
    </xf>
    <xf numFmtId="2" fontId="0" fillId="2" borderId="1" xfId="0" applyNumberFormat="1" applyFont="1" applyFill="1" applyBorder="1" applyAlignment="1">
      <alignment horizontal="center"/>
    </xf>
    <xf numFmtId="0" fontId="0" fillId="0" borderId="1" xfId="0" applyFill="1" applyBorder="1"/>
    <xf numFmtId="0" fontId="0" fillId="0" borderId="1" xfId="0" applyFill="1" applyBorder="1" applyAlignment="1">
      <alignment horizontal="center"/>
    </xf>
    <xf numFmtId="0" fontId="0" fillId="0" borderId="7" xfId="0" applyBorder="1" applyAlignment="1">
      <alignment horizontal="center"/>
    </xf>
    <xf numFmtId="0" fontId="0" fillId="0" borderId="15" xfId="0" applyFill="1" applyBorder="1" applyAlignment="1">
      <alignment horizontal="center"/>
    </xf>
    <xf numFmtId="0" fontId="0" fillId="0" borderId="10" xfId="0" applyFill="1" applyBorder="1" applyAlignment="1">
      <alignment horizontal="center"/>
    </xf>
    <xf numFmtId="0" fontId="0" fillId="0" borderId="10" xfId="0" applyBorder="1" applyAlignment="1">
      <alignment horizontal="center"/>
    </xf>
    <xf numFmtId="0" fontId="0" fillId="0" borderId="3" xfId="0" applyBorder="1" applyAlignment="1">
      <alignment horizontal="center"/>
    </xf>
    <xf numFmtId="0" fontId="0" fillId="0" borderId="2" xfId="0" applyBorder="1" applyAlignment="1">
      <alignment horizontal="center"/>
    </xf>
    <xf numFmtId="0" fontId="0" fillId="0" borderId="6" xfId="0" applyBorder="1" applyAlignment="1">
      <alignment horizontal="center"/>
    </xf>
    <xf numFmtId="0" fontId="0" fillId="0" borderId="19"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20" xfId="0"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2" xfId="0" applyFill="1" applyBorder="1" applyAlignment="1">
      <alignment horizontal="center"/>
    </xf>
    <xf numFmtId="0" fontId="0" fillId="0" borderId="10" xfId="0"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6" xfId="0" applyFill="1" applyBorder="1" applyAlignment="1">
      <alignment horizontal="center"/>
    </xf>
    <xf numFmtId="0" fontId="0" fillId="0" borderId="17" xfId="0" applyFill="1" applyBorder="1" applyAlignment="1">
      <alignment horizontal="center"/>
    </xf>
    <xf numFmtId="0" fontId="0" fillId="0" borderId="16" xfId="0" applyFill="1" applyBorder="1" applyAlignment="1">
      <alignment horizontal="center"/>
    </xf>
    <xf numFmtId="0" fontId="0" fillId="0" borderId="1" xfId="0" applyFill="1" applyBorder="1" applyAlignment="1">
      <alignment horizontal="center"/>
    </xf>
    <xf numFmtId="0" fontId="0" fillId="0" borderId="2" xfId="0" applyFill="1" applyBorder="1"/>
    <xf numFmtId="0" fontId="0" fillId="0" borderId="10" xfId="0" applyFill="1" applyBorder="1" applyAlignment="1">
      <alignment horizontal="center"/>
    </xf>
    <xf numFmtId="0" fontId="0" fillId="0" borderId="12" xfId="0" applyFill="1" applyBorder="1" applyAlignment="1">
      <alignment horizontal="center"/>
    </xf>
    <xf numFmtId="0" fontId="0" fillId="0" borderId="7" xfId="0" applyFill="1" applyBorder="1" applyAlignment="1">
      <alignment horizontal="center"/>
    </xf>
    <xf numFmtId="0" fontId="0" fillId="0" borderId="15" xfId="0" applyBorder="1" applyAlignment="1">
      <alignment horizontal="center"/>
    </xf>
    <xf numFmtId="0" fontId="0" fillId="0" borderId="0" xfId="0" applyBorder="1" applyAlignment="1">
      <alignment horizontal="center"/>
    </xf>
    <xf numFmtId="0" fontId="0" fillId="0" borderId="2" xfId="0" applyBorder="1" applyAlignment="1">
      <alignment horizontal="center"/>
    </xf>
    <xf numFmtId="0" fontId="0" fillId="0" borderId="21" xfId="0" applyFill="1" applyBorder="1" applyAlignment="1">
      <alignment horizontal="center"/>
    </xf>
    <xf numFmtId="0" fontId="0" fillId="0" borderId="10" xfId="0" applyFill="1" applyBorder="1" applyAlignment="1">
      <alignment horizontal="center"/>
    </xf>
    <xf numFmtId="0" fontId="0" fillId="0" borderId="10" xfId="0" applyFill="1" applyBorder="1" applyAlignment="1">
      <alignment horizontal="center"/>
    </xf>
    <xf numFmtId="0" fontId="0" fillId="0" borderId="3" xfId="0" applyFill="1" applyBorder="1" applyAlignment="1">
      <alignment horizontal="center"/>
    </xf>
    <xf numFmtId="0" fontId="0" fillId="0" borderId="24" xfId="0" applyFill="1" applyBorder="1" applyAlignment="1">
      <alignment horizontal="center"/>
    </xf>
    <xf numFmtId="0" fontId="0" fillId="0" borderId="25" xfId="0" applyFill="1" applyBorder="1" applyAlignment="1">
      <alignment horizontal="center"/>
    </xf>
    <xf numFmtId="0" fontId="0" fillId="2" borderId="1" xfId="0" applyFont="1" applyFill="1" applyBorder="1" applyAlignment="1">
      <alignment horizontal="center"/>
    </xf>
    <xf numFmtId="0" fontId="0" fillId="2" borderId="1" xfId="0" applyFill="1" applyBorder="1" applyAlignment="1">
      <alignment horizontal="center"/>
    </xf>
    <xf numFmtId="0" fontId="0" fillId="0" borderId="1" xfId="0" applyBorder="1" applyAlignment="1">
      <alignment horizontal="center"/>
    </xf>
    <xf numFmtId="0" fontId="0" fillId="0" borderId="20" xfId="0" applyFill="1" applyBorder="1" applyAlignment="1">
      <alignment horizontal="center"/>
    </xf>
    <xf numFmtId="4" fontId="7" fillId="0" borderId="1" xfId="1" applyNumberFormat="1" applyFont="1" applyBorder="1" applyAlignment="1">
      <alignment horizontal="center"/>
    </xf>
    <xf numFmtId="0" fontId="3" fillId="0" borderId="8" xfId="0" applyFont="1" applyBorder="1"/>
    <xf numFmtId="0" fontId="3" fillId="0" borderId="11" xfId="0" applyFont="1" applyBorder="1"/>
    <xf numFmtId="0" fontId="0" fillId="0" borderId="11" xfId="0" applyFont="1" applyBorder="1"/>
    <xf numFmtId="0" fontId="0" fillId="0" borderId="11" xfId="0" applyBorder="1"/>
    <xf numFmtId="0" fontId="0" fillId="0" borderId="13" xfId="0" applyBorder="1"/>
    <xf numFmtId="0" fontId="0" fillId="0" borderId="14" xfId="0" applyFont="1" applyBorder="1" applyAlignment="1">
      <alignment horizontal="center"/>
    </xf>
    <xf numFmtId="0" fontId="0" fillId="0" borderId="0" xfId="0" applyFont="1" applyFill="1"/>
    <xf numFmtId="4" fontId="7" fillId="0" borderId="0" xfId="1" applyNumberFormat="1" applyFont="1" applyBorder="1" applyAlignment="1">
      <alignment horizontal="center"/>
    </xf>
    <xf numFmtId="0" fontId="0" fillId="2" borderId="1" xfId="0" applyFont="1" applyFill="1" applyBorder="1" applyAlignment="1">
      <alignment horizontal="center"/>
    </xf>
    <xf numFmtId="4" fontId="7" fillId="2" borderId="1" xfId="1" applyNumberFormat="1" applyFont="1" applyFill="1" applyBorder="1" applyAlignment="1">
      <alignment horizontal="center"/>
    </xf>
    <xf numFmtId="4" fontId="0" fillId="2" borderId="1" xfId="0" applyNumberFormat="1" applyFont="1" applyFill="1" applyBorder="1" applyAlignment="1">
      <alignment horizontal="center"/>
    </xf>
    <xf numFmtId="0" fontId="0" fillId="2" borderId="1" xfId="0" applyFill="1" applyBorder="1"/>
    <xf numFmtId="0" fontId="0" fillId="0" borderId="24" xfId="0" applyFill="1" applyBorder="1" applyAlignment="1">
      <alignment horizontal="center"/>
    </xf>
    <xf numFmtId="0" fontId="0" fillId="0" borderId="24" xfId="0" applyBorder="1" applyAlignment="1">
      <alignment horizontal="center"/>
    </xf>
    <xf numFmtId="0" fontId="0" fillId="0" borderId="25" xfId="0" applyFill="1" applyBorder="1"/>
    <xf numFmtId="0" fontId="0" fillId="0" borderId="22" xfId="0" applyFill="1" applyBorder="1"/>
    <xf numFmtId="0" fontId="0" fillId="0" borderId="22" xfId="0" applyBorder="1"/>
    <xf numFmtId="0" fontId="0" fillId="0" borderId="23" xfId="0" applyBorder="1"/>
    <xf numFmtId="0" fontId="3" fillId="0" borderId="5" xfId="0" applyFont="1" applyFill="1" applyBorder="1"/>
    <xf numFmtId="0" fontId="0" fillId="0" borderId="5" xfId="0" applyFill="1" applyBorder="1" applyAlignment="1">
      <alignment horizontal="center"/>
    </xf>
    <xf numFmtId="0" fontId="0" fillId="0" borderId="13" xfId="0" applyBorder="1"/>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19" xfId="0" applyFill="1" applyBorder="1" applyAlignment="1">
      <alignment horizontal="center"/>
    </xf>
    <xf numFmtId="0" fontId="0" fillId="0" borderId="29"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30" xfId="0" applyBorder="1" applyAlignment="1">
      <alignment horizontal="center"/>
    </xf>
    <xf numFmtId="0" fontId="0" fillId="0" borderId="0" xfId="0" applyFill="1" applyBorder="1" applyAlignment="1">
      <alignment horizontal="center"/>
    </xf>
    <xf numFmtId="0" fontId="0" fillId="0" borderId="17" xfId="0" applyFill="1" applyBorder="1" applyAlignment="1">
      <alignment horizontal="center"/>
    </xf>
    <xf numFmtId="0" fontId="0" fillId="0" borderId="16" xfId="0" applyFill="1" applyBorder="1" applyAlignment="1">
      <alignment horizontal="center"/>
    </xf>
    <xf numFmtId="0" fontId="0" fillId="0" borderId="31" xfId="0" applyFill="1" applyBorder="1"/>
    <xf numFmtId="0" fontId="0" fillId="0" borderId="21" xfId="0" applyFill="1" applyBorder="1"/>
    <xf numFmtId="0" fontId="0" fillId="0" borderId="10" xfId="0" applyBorder="1" applyAlignment="1">
      <alignment horizontal="center"/>
    </xf>
    <xf numFmtId="0" fontId="5" fillId="0" borderId="0" xfId="0" quotePrefix="1" applyFont="1" applyBorder="1"/>
    <xf numFmtId="0" fontId="0" fillId="3" borderId="3" xfId="0" applyFill="1" applyBorder="1" applyAlignment="1">
      <alignment horizontal="center"/>
    </xf>
    <xf numFmtId="0" fontId="6" fillId="0" borderId="0" xfId="0" applyFont="1"/>
    <xf numFmtId="0" fontId="1" fillId="0" borderId="0" xfId="0" applyFont="1" applyFill="1"/>
    <xf numFmtId="0" fontId="0" fillId="0" borderId="0" xfId="0" applyFill="1" applyBorder="1" applyAlignment="1">
      <alignment horizontal="left"/>
    </xf>
    <xf numFmtId="0" fontId="0" fillId="0" borderId="11" xfId="0" applyBorder="1" applyAlignment="1">
      <alignment horizontal="left"/>
    </xf>
    <xf numFmtId="0" fontId="0" fillId="0" borderId="0" xfId="0" applyAlignment="1">
      <alignment horizontal="right"/>
    </xf>
    <xf numFmtId="0" fontId="0" fillId="0" borderId="4" xfId="0" applyBorder="1" applyAlignment="1">
      <alignment horizontal="center"/>
    </xf>
    <xf numFmtId="0" fontId="0" fillId="0" borderId="5" xfId="0" applyBorder="1" applyAlignment="1">
      <alignment horizontal="center"/>
    </xf>
    <xf numFmtId="0" fontId="5" fillId="0" borderId="0" xfId="0" applyFont="1" applyAlignment="1">
      <alignment horizontal="left"/>
    </xf>
    <xf numFmtId="0" fontId="0" fillId="3" borderId="24"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27" xfId="0" applyFill="1" applyBorder="1" applyAlignment="1">
      <alignment horizontal="center"/>
    </xf>
    <xf numFmtId="0" fontId="0" fillId="0" borderId="34" xfId="0" applyBorder="1" applyAlignment="1">
      <alignment horizontal="center"/>
    </xf>
    <xf numFmtId="0" fontId="0" fillId="0" borderId="0" xfId="0" quotePrefix="1" applyFill="1" applyAlignment="1">
      <alignment horizontal="center"/>
    </xf>
    <xf numFmtId="0" fontId="0" fillId="0" borderId="1" xfId="0" quotePrefix="1" applyFill="1" applyBorder="1" applyAlignment="1">
      <alignment horizontal="center"/>
    </xf>
    <xf numFmtId="2" fontId="0" fillId="2" borderId="1" xfId="0" applyNumberFormat="1" applyFont="1" applyFill="1" applyBorder="1" applyAlignment="1">
      <alignment horizontal="center"/>
    </xf>
    <xf numFmtId="0" fontId="0" fillId="4" borderId="29" xfId="0" applyFill="1" applyBorder="1"/>
    <xf numFmtId="0" fontId="0" fillId="0" borderId="18" xfId="0" applyFont="1" applyFill="1" applyBorder="1" applyAlignment="1">
      <alignment horizontal="center"/>
    </xf>
    <xf numFmtId="0" fontId="0" fillId="0" borderId="18" xfId="0" applyFont="1" applyBorder="1"/>
    <xf numFmtId="0" fontId="1" fillId="0" borderId="20" xfId="0" applyFont="1" applyFill="1" applyBorder="1" applyAlignment="1">
      <alignment horizontal="center"/>
    </xf>
    <xf numFmtId="0" fontId="0" fillId="0" borderId="0" xfId="0" applyBorder="1" applyAlignment="1">
      <alignment horizontal="center"/>
    </xf>
    <xf numFmtId="0" fontId="5" fillId="0" borderId="0" xfId="0" applyFont="1" applyBorder="1"/>
    <xf numFmtId="4" fontId="0" fillId="2" borderId="1" xfId="0" applyNumberFormat="1" applyFont="1" applyFill="1" applyBorder="1" applyAlignment="1">
      <alignment horizontal="center"/>
    </xf>
    <xf numFmtId="0" fontId="0" fillId="0" borderId="0" xfId="0" applyFont="1" applyFill="1" applyBorder="1" applyAlignment="1">
      <alignment horizontal="center"/>
    </xf>
    <xf numFmtId="0" fontId="0" fillId="0" borderId="0" xfId="0" applyFont="1" applyFill="1" applyBorder="1" applyAlignment="1">
      <alignment horizontal="center"/>
    </xf>
    <xf numFmtId="0" fontId="3" fillId="2" borderId="0" xfId="0" applyFont="1" applyFill="1" applyBorder="1"/>
    <xf numFmtId="0" fontId="3" fillId="2" borderId="0" xfId="0" applyFont="1" applyFill="1" applyBorder="1" applyAlignment="1">
      <alignment horizontal="center"/>
    </xf>
    <xf numFmtId="4" fontId="3" fillId="2" borderId="0" xfId="1" applyNumberFormat="1" applyFont="1" applyFill="1" applyBorder="1" applyAlignment="1">
      <alignment horizontal="center"/>
    </xf>
    <xf numFmtId="4" fontId="3" fillId="2" borderId="0" xfId="0" applyNumberFormat="1" applyFont="1" applyFill="1" applyBorder="1" applyAlignment="1">
      <alignment horizontal="center"/>
    </xf>
    <xf numFmtId="4" fontId="3" fillId="2" borderId="0" xfId="1" applyNumberFormat="1" applyFont="1" applyFill="1" applyAlignment="1">
      <alignment horizontal="center"/>
    </xf>
    <xf numFmtId="4" fontId="3" fillId="2" borderId="0" xfId="0" applyNumberFormat="1" applyFont="1" applyFill="1" applyAlignment="1">
      <alignment horizontal="center"/>
    </xf>
    <xf numFmtId="4" fontId="0" fillId="0" borderId="3" xfId="0" applyNumberFormat="1" applyFont="1" applyBorder="1" applyAlignment="1">
      <alignment horizontal="center"/>
    </xf>
    <xf numFmtId="4" fontId="0" fillId="0" borderId="5" xfId="0" applyNumberFormat="1" applyFont="1" applyBorder="1" applyAlignment="1">
      <alignment horizontal="center"/>
    </xf>
    <xf numFmtId="0" fontId="0" fillId="0" borderId="6" xfId="0" applyFont="1" applyFill="1" applyBorder="1"/>
    <xf numFmtId="4" fontId="0" fillId="0" borderId="7" xfId="0" applyNumberFormat="1" applyFont="1" applyBorder="1" applyAlignment="1">
      <alignment horizontal="center"/>
    </xf>
    <xf numFmtId="0" fontId="0" fillId="0" borderId="30" xfId="0" applyFont="1" applyFill="1" applyBorder="1" applyAlignment="1">
      <alignment horizontal="center"/>
    </xf>
    <xf numFmtId="0" fontId="0" fillId="0" borderId="0" xfId="0" applyBorder="1"/>
    <xf numFmtId="0" fontId="0" fillId="0" borderId="0" xfId="0" applyFill="1" applyBorder="1" applyAlignment="1">
      <alignment horizontal="center"/>
    </xf>
    <xf numFmtId="0" fontId="0" fillId="0" borderId="0" xfId="0" quotePrefix="1" applyFill="1" applyBorder="1" applyAlignment="1">
      <alignment horizontal="center"/>
    </xf>
    <xf numFmtId="0" fontId="0" fillId="0" borderId="1" xfId="0" quotePrefix="1" applyFill="1" applyBorder="1" applyAlignment="1">
      <alignment horizontal="center"/>
    </xf>
    <xf numFmtId="0" fontId="5" fillId="0" borderId="1" xfId="0" applyFont="1" applyBorder="1"/>
    <xf numFmtId="0" fontId="1" fillId="0" borderId="18" xfId="0" applyFont="1" applyBorder="1"/>
    <xf numFmtId="0" fontId="5" fillId="0" borderId="18" xfId="0" applyFont="1" applyBorder="1"/>
    <xf numFmtId="0" fontId="0" fillId="0" borderId="0" xfId="0" applyFill="1" applyBorder="1" applyAlignment="1">
      <alignment horizontal="center"/>
    </xf>
    <xf numFmtId="0" fontId="0" fillId="0" borderId="2" xfId="0" applyBorder="1"/>
    <xf numFmtId="0" fontId="0" fillId="0" borderId="4" xfId="0" applyBorder="1"/>
    <xf numFmtId="0" fontId="0" fillId="0" borderId="6" xfId="0" applyBorder="1"/>
    <xf numFmtId="0" fontId="1" fillId="0" borderId="10" xfId="0" applyFont="1" applyBorder="1" applyAlignment="1">
      <alignment horizontal="center"/>
    </xf>
    <xf numFmtId="0" fontId="1" fillId="0" borderId="3" xfId="0" applyFont="1" applyBorder="1" applyAlignment="1">
      <alignment horizontal="center"/>
    </xf>
    <xf numFmtId="0" fontId="0" fillId="0" borderId="25" xfId="0" applyBorder="1"/>
    <xf numFmtId="0" fontId="0" fillId="0" borderId="1" xfId="0" applyFill="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16" xfId="0" applyBorder="1" applyAlignment="1">
      <alignment horizontal="center"/>
    </xf>
    <xf numFmtId="0" fontId="0" fillId="0" borderId="1" xfId="0" applyFont="1" applyBorder="1" applyAlignment="1">
      <alignment horizontal="center"/>
    </xf>
    <xf numFmtId="0" fontId="0" fillId="0" borderId="33" xfId="0" applyBorder="1"/>
    <xf numFmtId="0" fontId="0" fillId="0" borderId="21" xfId="0" applyBorder="1"/>
    <xf numFmtId="0" fontId="1" fillId="0" borderId="29" xfId="0" applyFont="1" applyBorder="1"/>
    <xf numFmtId="0" fontId="1" fillId="0" borderId="17" xfId="0" applyFont="1" applyBorder="1" applyAlignment="1">
      <alignment horizontal="center"/>
    </xf>
    <xf numFmtId="0" fontId="1" fillId="0" borderId="16" xfId="0" applyFont="1" applyBorder="1" applyAlignment="1">
      <alignment horizontal="center"/>
    </xf>
    <xf numFmtId="0" fontId="0" fillId="0" borderId="4" xfId="0" applyFill="1" applyBorder="1"/>
    <xf numFmtId="0" fontId="0" fillId="0" borderId="30" xfId="0" applyFill="1" applyBorder="1" applyAlignment="1">
      <alignment horizontal="center"/>
    </xf>
    <xf numFmtId="0" fontId="0" fillId="0" borderId="8" xfId="0" applyFill="1" applyBorder="1" applyAlignment="1">
      <alignment horizontal="center"/>
    </xf>
    <xf numFmtId="0" fontId="0" fillId="0" borderId="35" xfId="0" applyFill="1" applyBorder="1" applyAlignment="1">
      <alignment horizontal="center"/>
    </xf>
    <xf numFmtId="0" fontId="0" fillId="0" borderId="36" xfId="0" applyBorder="1" applyAlignment="1">
      <alignment horizontal="center"/>
    </xf>
    <xf numFmtId="0" fontId="1" fillId="0" borderId="0" xfId="0" applyFont="1" applyFill="1" applyAlignment="1">
      <alignment horizontal="center"/>
    </xf>
    <xf numFmtId="0" fontId="3" fillId="0" borderId="22" xfId="0" applyFont="1" applyBorder="1"/>
    <xf numFmtId="0" fontId="0" fillId="0" borderId="37" xfId="0" applyFill="1" applyBorder="1" applyAlignment="1">
      <alignment horizontal="center"/>
    </xf>
    <xf numFmtId="0" fontId="3" fillId="0" borderId="25" xfId="0" applyFont="1" applyFill="1" applyBorder="1" applyAlignment="1">
      <alignment horizontal="center"/>
    </xf>
    <xf numFmtId="0" fontId="3" fillId="0" borderId="0" xfId="0" applyFont="1" applyFill="1"/>
    <xf numFmtId="0" fontId="3" fillId="0" borderId="0" xfId="0" applyFont="1" applyFill="1" applyAlignment="1">
      <alignment horizontal="left"/>
    </xf>
    <xf numFmtId="0" fontId="3" fillId="0" borderId="2" xfId="0" applyFont="1" applyFill="1" applyBorder="1" applyAlignment="1">
      <alignment horizontal="center"/>
    </xf>
    <xf numFmtId="0" fontId="3" fillId="0" borderId="10" xfId="0" applyFont="1" applyFill="1" applyBorder="1" applyAlignment="1">
      <alignment horizontal="center"/>
    </xf>
    <xf numFmtId="0" fontId="3" fillId="0" borderId="10" xfId="0" applyFont="1" applyBorder="1" applyAlignment="1">
      <alignment horizontal="center"/>
    </xf>
    <xf numFmtId="0" fontId="3" fillId="0" borderId="0" xfId="0" quotePrefix="1" applyFont="1" applyFill="1"/>
    <xf numFmtId="0" fontId="3" fillId="0" borderId="15" xfId="0" applyFont="1" applyFill="1" applyBorder="1" applyAlignment="1">
      <alignment horizontal="center"/>
    </xf>
    <xf numFmtId="0" fontId="3" fillId="0" borderId="2" xfId="0" applyFont="1" applyFill="1" applyBorder="1"/>
    <xf numFmtId="0" fontId="3" fillId="0" borderId="17" xfId="0" applyFont="1" applyFill="1" applyBorder="1" applyAlignment="1">
      <alignment horizontal="center"/>
    </xf>
    <xf numFmtId="0" fontId="0" fillId="0" borderId="19" xfId="0" applyBorder="1"/>
    <xf numFmtId="4" fontId="0" fillId="0" borderId="20" xfId="0" applyNumberFormat="1" applyFont="1" applyBorder="1" applyAlignment="1">
      <alignment horizontal="center"/>
    </xf>
    <xf numFmtId="0" fontId="0" fillId="0" borderId="5" xfId="0" applyFont="1" applyBorder="1" applyAlignment="1">
      <alignment horizontal="center"/>
    </xf>
    <xf numFmtId="0" fontId="0" fillId="0" borderId="7" xfId="0" applyFont="1" applyBorder="1" applyAlignment="1">
      <alignment horizontal="center"/>
    </xf>
    <xf numFmtId="0" fontId="0" fillId="5" borderId="5" xfId="0" applyFont="1" applyFill="1" applyBorder="1" applyAlignment="1">
      <alignment horizontal="center"/>
    </xf>
    <xf numFmtId="0" fontId="0" fillId="0" borderId="0" xfId="0" applyFont="1" applyBorder="1"/>
    <xf numFmtId="0" fontId="0" fillId="0" borderId="10" xfId="0" applyFont="1" applyBorder="1"/>
    <xf numFmtId="0" fontId="0" fillId="5" borderId="5" xfId="0" applyFill="1" applyBorder="1" applyAlignment="1">
      <alignment horizontal="center"/>
    </xf>
    <xf numFmtId="0" fontId="0" fillId="5" borderId="30" xfId="0" applyFont="1" applyFill="1" applyBorder="1" applyAlignment="1">
      <alignment horizontal="center"/>
    </xf>
    <xf numFmtId="0" fontId="0" fillId="0" borderId="8" xfId="0" applyBorder="1"/>
    <xf numFmtId="0" fontId="0" fillId="0" borderId="9" xfId="0" applyFont="1" applyBorder="1" applyAlignment="1">
      <alignment horizontal="center"/>
    </xf>
    <xf numFmtId="0" fontId="0" fillId="0" borderId="12" xfId="0" applyFont="1" applyBorder="1" applyAlignment="1">
      <alignment horizontal="center"/>
    </xf>
    <xf numFmtId="0" fontId="0" fillId="0" borderId="0" xfId="0" applyFont="1" applyBorder="1" applyAlignment="1">
      <alignment horizontal="center"/>
    </xf>
    <xf numFmtId="4" fontId="0" fillId="0" borderId="38" xfId="0" applyNumberFormat="1" applyFont="1" applyBorder="1" applyAlignment="1">
      <alignment horizontal="center"/>
    </xf>
    <xf numFmtId="0" fontId="8" fillId="0" borderId="0" xfId="0" applyFont="1"/>
    <xf numFmtId="0" fontId="0" fillId="5" borderId="7" xfId="0" applyFill="1" applyBorder="1" applyAlignment="1">
      <alignment horizontal="center"/>
    </xf>
    <xf numFmtId="0" fontId="0" fillId="5" borderId="1" xfId="0" applyFill="1" applyBorder="1" applyAlignment="1">
      <alignment horizontal="center"/>
    </xf>
    <xf numFmtId="0" fontId="0" fillId="5" borderId="30" xfId="0" applyFill="1" applyBorder="1" applyAlignment="1">
      <alignment horizontal="center"/>
    </xf>
    <xf numFmtId="0" fontId="0" fillId="5" borderId="0" xfId="0" applyFill="1" applyBorder="1" applyAlignment="1">
      <alignment horizontal="center"/>
    </xf>
    <xf numFmtId="0" fontId="4" fillId="5" borderId="5" xfId="0" applyFont="1" applyFill="1" applyBorder="1" applyAlignment="1">
      <alignment horizontal="center"/>
    </xf>
    <xf numFmtId="0" fontId="4" fillId="5" borderId="7" xfId="0" applyFont="1" applyFill="1" applyBorder="1" applyAlignment="1">
      <alignment horizontal="center"/>
    </xf>
    <xf numFmtId="0" fontId="3" fillId="5" borderId="0" xfId="0" applyFont="1" applyFill="1" applyBorder="1" applyAlignment="1">
      <alignment horizontal="center"/>
    </xf>
    <xf numFmtId="0" fontId="3" fillId="5" borderId="0" xfId="0" quotePrefix="1" applyFont="1" applyFill="1" applyBorder="1" applyAlignment="1">
      <alignment horizontal="center"/>
    </xf>
    <xf numFmtId="0" fontId="3" fillId="5" borderId="1" xfId="0" applyFont="1" applyFill="1" applyBorder="1" applyAlignment="1">
      <alignment horizontal="center"/>
    </xf>
    <xf numFmtId="0" fontId="0" fillId="5" borderId="22" xfId="0" applyFill="1" applyBorder="1" applyAlignment="1">
      <alignment horizontal="left"/>
    </xf>
    <xf numFmtId="0" fontId="0" fillId="5" borderId="23" xfId="0" applyFill="1" applyBorder="1" applyAlignment="1">
      <alignment horizontal="left"/>
    </xf>
    <xf numFmtId="0" fontId="0" fillId="5" borderId="22" xfId="0" applyFill="1" applyBorder="1"/>
    <xf numFmtId="0" fontId="0" fillId="5" borderId="23" xfId="0" applyFill="1" applyBorder="1"/>
    <xf numFmtId="0" fontId="0" fillId="5" borderId="24" xfId="0" applyFont="1" applyFill="1" applyBorder="1"/>
    <xf numFmtId="0" fontId="0" fillId="5" borderId="24" xfId="0" applyFont="1" applyFill="1" applyBorder="1" applyAlignment="1">
      <alignment horizontal="center"/>
    </xf>
    <xf numFmtId="4" fontId="7" fillId="5" borderId="24" xfId="1" applyNumberFormat="1" applyFont="1" applyFill="1" applyBorder="1" applyAlignment="1">
      <alignment horizontal="center"/>
    </xf>
    <xf numFmtId="4" fontId="0" fillId="5" borderId="24" xfId="0" applyNumberFormat="1" applyFont="1" applyFill="1" applyBorder="1" applyAlignment="1">
      <alignment horizontal="center"/>
    </xf>
    <xf numFmtId="0" fontId="0" fillId="5" borderId="24" xfId="0" applyFill="1" applyBorder="1"/>
    <xf numFmtId="0" fontId="3" fillId="5" borderId="24" xfId="0" applyFont="1" applyFill="1" applyBorder="1"/>
    <xf numFmtId="0" fontId="0" fillId="5" borderId="0" xfId="0" applyFont="1" applyFill="1" applyAlignment="1">
      <alignment horizontal="center"/>
    </xf>
    <xf numFmtId="0" fontId="0" fillId="5" borderId="0" xfId="0" applyFont="1" applyFill="1"/>
    <xf numFmtId="0" fontId="0" fillId="5" borderId="9" xfId="0" applyFont="1" applyFill="1" applyBorder="1" applyAlignment="1">
      <alignment horizontal="center"/>
    </xf>
    <xf numFmtId="0" fontId="0" fillId="5" borderId="12" xfId="0" applyFont="1" applyFill="1" applyBorder="1" applyAlignment="1">
      <alignment horizontal="center"/>
    </xf>
    <xf numFmtId="0" fontId="0" fillId="5" borderId="4" xfId="0" applyFill="1" applyBorder="1"/>
    <xf numFmtId="0" fontId="0" fillId="5" borderId="6" xfId="0" applyFill="1" applyBorder="1"/>
    <xf numFmtId="0" fontId="0" fillId="5" borderId="0" xfId="0" applyFill="1" applyBorder="1"/>
    <xf numFmtId="0" fontId="0" fillId="5" borderId="1" xfId="0" applyFill="1" applyBorder="1"/>
    <xf numFmtId="0" fontId="0" fillId="0" borderId="0" xfId="0"/>
    <xf numFmtId="0" fontId="0" fillId="0" borderId="0" xfId="0"/>
    <xf numFmtId="0" fontId="0" fillId="0" borderId="0" xfId="0" applyAlignment="1">
      <alignment horizontal="center"/>
    </xf>
    <xf numFmtId="0" fontId="0" fillId="0" borderId="2" xfId="0" applyBorder="1"/>
    <xf numFmtId="0" fontId="0" fillId="0" borderId="0" xfId="0" applyFill="1" applyBorder="1"/>
    <xf numFmtId="0" fontId="0" fillId="0" borderId="0" xfId="0" applyFill="1"/>
    <xf numFmtId="0" fontId="9" fillId="0" borderId="0" xfId="0" applyFont="1" applyAlignment="1">
      <alignment horizontal="center"/>
    </xf>
    <xf numFmtId="0" fontId="3" fillId="5" borderId="39" xfId="0" applyFont="1" applyFill="1" applyBorder="1"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0" xfId="0" applyBorder="1"/>
    <xf numFmtId="0" fontId="0" fillId="0" borderId="1" xfId="0" applyBorder="1"/>
    <xf numFmtId="0" fontId="0" fillId="0" borderId="2" xfId="0" applyBorder="1" applyAlignment="1">
      <alignment horizontal="center" vertical="center"/>
    </xf>
    <xf numFmtId="0" fontId="0" fillId="0" borderId="10" xfId="0" applyBorder="1" applyAlignment="1">
      <alignment horizontal="center" vertical="center"/>
    </xf>
    <xf numFmtId="0" fontId="0" fillId="0" borderId="3" xfId="0" applyBorder="1" applyAlignment="1">
      <alignment horizontal="center" vertical="center"/>
    </xf>
    <xf numFmtId="0" fontId="0" fillId="0" borderId="3" xfId="0" applyFill="1" applyBorder="1" applyAlignment="1">
      <alignment horizontal="center"/>
    </xf>
    <xf numFmtId="0" fontId="0" fillId="0" borderId="40" xfId="0" applyBorder="1" applyAlignment="1">
      <alignment horizontal="center"/>
    </xf>
    <xf numFmtId="0" fontId="0" fillId="5" borderId="11" xfId="0" applyFill="1" applyBorder="1" applyAlignment="1">
      <alignment horizontal="center"/>
    </xf>
    <xf numFmtId="0" fontId="0" fillId="5" borderId="39" xfId="0" applyFill="1" applyBorder="1" applyAlignment="1">
      <alignment horizontal="center"/>
    </xf>
    <xf numFmtId="0" fontId="0" fillId="0" borderId="6" xfId="0" applyFill="1" applyBorder="1"/>
    <xf numFmtId="0" fontId="1" fillId="0" borderId="0" xfId="0" applyFont="1" applyFill="1" applyBorder="1" applyAlignment="1">
      <alignment horizontal="center"/>
    </xf>
    <xf numFmtId="0" fontId="1" fillId="0" borderId="1" xfId="0" applyFont="1" applyFill="1" applyBorder="1" applyAlignment="1">
      <alignment horizontal="center"/>
    </xf>
    <xf numFmtId="0" fontId="8" fillId="0" borderId="0" xfId="0" quotePrefix="1" applyFont="1"/>
    <xf numFmtId="0" fontId="3" fillId="5" borderId="1" xfId="0" quotePrefix="1" applyFont="1" applyFill="1" applyBorder="1" applyAlignment="1">
      <alignment horizontal="center"/>
    </xf>
    <xf numFmtId="4" fontId="0" fillId="0" borderId="0" xfId="0" applyNumberFormat="1" applyFont="1" applyFill="1" applyAlignment="1">
      <alignment horizontal="center"/>
    </xf>
    <xf numFmtId="0" fontId="0" fillId="0" borderId="29" xfId="0" applyFill="1" applyBorder="1" applyAlignment="1">
      <alignment horizontal="center"/>
    </xf>
    <xf numFmtId="0" fontId="1" fillId="0" borderId="18" xfId="0" quotePrefix="1" applyFont="1" applyFill="1" applyBorder="1" applyAlignment="1">
      <alignment horizontal="center"/>
    </xf>
    <xf numFmtId="0" fontId="0" fillId="5" borderId="18" xfId="0" applyFill="1" applyBorder="1" applyAlignment="1">
      <alignment horizontal="center"/>
    </xf>
    <xf numFmtId="0" fontId="0" fillId="0" borderId="24" xfId="0" applyFill="1" applyBorder="1"/>
    <xf numFmtId="0" fontId="3" fillId="0" borderId="4" xfId="0" applyFont="1" applyFill="1" applyBorder="1" applyAlignment="1">
      <alignment horizontal="center"/>
    </xf>
    <xf numFmtId="0" fontId="3" fillId="0" borderId="0" xfId="0" applyFont="1" applyFill="1" applyBorder="1" applyAlignment="1">
      <alignment horizontal="center"/>
    </xf>
    <xf numFmtId="0" fontId="3" fillId="0" borderId="6" xfId="0" applyFont="1" applyFill="1" applyBorder="1" applyAlignment="1">
      <alignment horizontal="center"/>
    </xf>
    <xf numFmtId="0" fontId="3" fillId="0" borderId="1" xfId="0" applyFont="1" applyFill="1" applyBorder="1" applyAlignment="1">
      <alignment horizontal="center"/>
    </xf>
    <xf numFmtId="0" fontId="3" fillId="0" borderId="18" xfId="0" applyFont="1" applyFill="1" applyBorder="1" applyAlignment="1">
      <alignment horizontal="center"/>
    </xf>
    <xf numFmtId="0" fontId="10" fillId="0" borderId="0" xfId="0" applyFont="1" applyFill="1"/>
    <xf numFmtId="0" fontId="1" fillId="0" borderId="0" xfId="0" applyFont="1"/>
    <xf numFmtId="0" fontId="0" fillId="0" borderId="23" xfId="0" applyFill="1" applyBorder="1"/>
    <xf numFmtId="0" fontId="12" fillId="0" borderId="0" xfId="18" applyFont="1"/>
    <xf numFmtId="0" fontId="10" fillId="0" borderId="0" xfId="0" applyFont="1"/>
    <xf numFmtId="0" fontId="6" fillId="0" borderId="30" xfId="0" applyFont="1" applyBorder="1"/>
    <xf numFmtId="0" fontId="0" fillId="0" borderId="18" xfId="0" applyFill="1" applyBorder="1" applyAlignment="1">
      <alignment horizontal="center"/>
    </xf>
    <xf numFmtId="0" fontId="0" fillId="0" borderId="29" xfId="0" applyBorder="1"/>
    <xf numFmtId="0" fontId="3" fillId="0" borderId="0" xfId="0" applyFont="1" applyFill="1" applyBorder="1"/>
    <xf numFmtId="0" fontId="3" fillId="0" borderId="4" xfId="0" applyFont="1" applyBorder="1"/>
    <xf numFmtId="0" fontId="0" fillId="6" borderId="41" xfId="0" applyFill="1" applyBorder="1" applyAlignment="1">
      <alignment horizontal="center"/>
    </xf>
    <xf numFmtId="0" fontId="0" fillId="0" borderId="22" xfId="0" applyBorder="1" applyAlignment="1">
      <alignment horizontal="center"/>
    </xf>
    <xf numFmtId="0" fontId="0" fillId="5" borderId="22" xfId="0" applyFill="1" applyBorder="1" applyAlignment="1">
      <alignment horizontal="center"/>
    </xf>
    <xf numFmtId="0" fontId="0" fillId="7" borderId="25" xfId="0" applyFill="1" applyBorder="1" applyAlignment="1">
      <alignment horizontal="center"/>
    </xf>
    <xf numFmtId="0" fontId="0" fillId="7" borderId="25" xfId="0" applyFill="1" applyBorder="1"/>
    <xf numFmtId="0" fontId="0" fillId="7" borderId="3" xfId="0" applyFill="1" applyBorder="1" applyAlignment="1">
      <alignment horizontal="center"/>
    </xf>
    <xf numFmtId="0" fontId="0" fillId="7" borderId="10" xfId="0" applyFill="1" applyBorder="1"/>
    <xf numFmtId="0" fontId="0" fillId="7" borderId="42" xfId="0" applyFill="1" applyBorder="1" applyAlignment="1">
      <alignment horizontal="center"/>
    </xf>
    <xf numFmtId="0" fontId="0" fillId="0" borderId="43" xfId="0" applyBorder="1" applyAlignment="1">
      <alignment horizontal="center"/>
    </xf>
    <xf numFmtId="0" fontId="0" fillId="5" borderId="24" xfId="0" applyFill="1" applyBorder="1" applyAlignment="1">
      <alignment horizontal="center"/>
    </xf>
    <xf numFmtId="0" fontId="0" fillId="0" borderId="18" xfId="0" applyBorder="1" applyAlignment="1">
      <alignment horizontal="center"/>
    </xf>
    <xf numFmtId="0" fontId="0" fillId="7" borderId="2" xfId="0" applyFill="1" applyBorder="1"/>
    <xf numFmtId="0" fontId="0" fillId="5" borderId="22" xfId="0" quotePrefix="1" applyFill="1" applyBorder="1" applyAlignment="1">
      <alignment horizontal="center"/>
    </xf>
    <xf numFmtId="0" fontId="10" fillId="5" borderId="30" xfId="0" applyFont="1" applyFill="1" applyBorder="1" applyAlignment="1">
      <alignment horizontal="center"/>
    </xf>
    <xf numFmtId="0" fontId="15" fillId="5" borderId="5" xfId="0" applyFont="1" applyFill="1" applyBorder="1" applyAlignment="1">
      <alignment horizontal="center"/>
    </xf>
    <xf numFmtId="0" fontId="15" fillId="5" borderId="7" xfId="0" applyFont="1" applyFill="1" applyBorder="1" applyAlignment="1">
      <alignment horizontal="center"/>
    </xf>
    <xf numFmtId="0" fontId="11" fillId="0" borderId="5" xfId="18" applyBorder="1" applyAlignment="1">
      <alignment horizontal="center"/>
    </xf>
    <xf numFmtId="0" fontId="3" fillId="0" borderId="0" xfId="0" quotePrefix="1" applyFont="1" applyFill="1" applyBorder="1" applyAlignment="1">
      <alignment horizontal="center"/>
    </xf>
  </cellXfs>
  <cellStyles count="19">
    <cellStyle name="Lien hypertexte" xfId="18" builtinId="8"/>
    <cellStyle name="Milliers" xfId="1" builtinId="3"/>
    <cellStyle name="Milliers 19" xfId="2"/>
    <cellStyle name="Milliers 20" xfId="3"/>
    <cellStyle name="Milliers 21" xfId="4"/>
    <cellStyle name="Milliers 22" xfId="5"/>
    <cellStyle name="Milliers 23" xfId="6"/>
    <cellStyle name="Milliers 25" xfId="7"/>
    <cellStyle name="Milliers 26" xfId="8"/>
    <cellStyle name="Milliers 28" xfId="9"/>
    <cellStyle name="Milliers 32" xfId="10"/>
    <cellStyle name="Milliers 33" xfId="11"/>
    <cellStyle name="Milliers 34" xfId="12"/>
    <cellStyle name="Milliers 35" xfId="13"/>
    <cellStyle name="Milliers 36" xfId="14"/>
    <cellStyle name="Milliers 37" xfId="15"/>
    <cellStyle name="Milliers 38" xfId="16"/>
    <cellStyle name="Milliers 40" xfId="17"/>
    <cellStyle name="Normal" xfId="0" builtinId="0"/>
  </cellStyles>
  <dxfs count="14">
    <dxf>
      <font>
        <color rgb="FF009900"/>
      </font>
    </dxf>
    <dxf>
      <font>
        <color rgb="FFFF0000"/>
      </font>
    </dxf>
    <dxf>
      <font>
        <color rgb="FF009900"/>
      </font>
    </dxf>
    <dxf>
      <font>
        <color rgb="FFFF0000"/>
      </font>
    </dxf>
    <dxf>
      <font>
        <color theme="0" tint="-0.24994659260841701"/>
      </font>
    </dxf>
    <dxf>
      <fill>
        <patternFill>
          <bgColor theme="1" tint="0.499984740745262"/>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indexed="17"/>
      </font>
    </dxf>
    <dxf>
      <font>
        <condense val="0"/>
        <extend val="0"/>
        <color indexed="10"/>
      </font>
    </dxf>
    <dxf>
      <font>
        <condense val="0"/>
        <extend val="0"/>
        <color indexed="10"/>
      </font>
    </dxf>
    <dxf>
      <font>
        <condense val="0"/>
        <extend val="0"/>
        <color indexed="53"/>
      </font>
    </dxf>
    <dxf>
      <font>
        <condense val="0"/>
        <extend val="0"/>
        <color indexed="10"/>
      </font>
    </dxf>
  </dxfs>
  <tableStyles count="0" defaultTableStyle="TableStyleMedium9"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fmlaLink="$E$40" lockText="1" noThreeD="1"/>
</file>

<file path=xl/ctrlProps/ctrlProp2.xml><?xml version="1.0" encoding="utf-8"?>
<formControlPr xmlns="http://schemas.microsoft.com/office/spreadsheetml/2009/9/main" objectType="CheckBox" fmlaLink="$H$29" lockText="1" noThreeD="1"/>
</file>

<file path=xl/ctrlProps/ctrlProp3.xml><?xml version="1.0" encoding="utf-8"?>
<formControlPr xmlns="http://schemas.microsoft.com/office/spreadsheetml/2009/9/main" objectType="CheckBox" fmlaLink="$E$1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39</xdr:row>
          <xdr:rowOff>0</xdr:rowOff>
        </xdr:from>
        <xdr:to>
          <xdr:col>2</xdr:col>
          <xdr:colOff>257175</xdr:colOff>
          <xdr:row>40</xdr:row>
          <xdr:rowOff>38100</xdr:rowOff>
        </xdr:to>
        <xdr:sp macro="" textlink="">
          <xdr:nvSpPr>
            <xdr:cNvPr id="4105" name="ArmureMage" hidden="1">
              <a:extLst>
                <a:ext uri="{63B3BB69-23CF-44E3-9099-C40C66FF867C}">
                  <a14:compatExt spid="_x0000_s4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27</xdr:row>
          <xdr:rowOff>180975</xdr:rowOff>
        </xdr:from>
        <xdr:to>
          <xdr:col>4</xdr:col>
          <xdr:colOff>257175</xdr:colOff>
          <xdr:row>29</xdr:row>
          <xdr:rowOff>28575</xdr:rowOff>
        </xdr:to>
        <xdr:sp macro="" textlink="">
          <xdr:nvSpPr>
            <xdr:cNvPr id="4106" name="ArmureMage" hidden="1">
              <a:extLst>
                <a:ext uri="{63B3BB69-23CF-44E3-9099-C40C66FF867C}">
                  <a14:compatExt spid="_x0000_s4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13</xdr:row>
          <xdr:rowOff>180975</xdr:rowOff>
        </xdr:from>
        <xdr:to>
          <xdr:col>2</xdr:col>
          <xdr:colOff>257175</xdr:colOff>
          <xdr:row>15</xdr:row>
          <xdr:rowOff>28575</xdr:rowOff>
        </xdr:to>
        <xdr:sp macro="" textlink="">
          <xdr:nvSpPr>
            <xdr:cNvPr id="8195" name="ArmureMage"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regles-donjons-dragons.com/Page1313.html"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s://animalcorner.co.uk/rainforests/graphics/serval1.jpg"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AK109"/>
  <sheetViews>
    <sheetView workbookViewId="0">
      <selection activeCell="K15" sqref="K15"/>
    </sheetView>
  </sheetViews>
  <sheetFormatPr baseColWidth="10" defaultColWidth="11.42578125" defaultRowHeight="15" x14ac:dyDescent="0.25"/>
  <cols>
    <col min="1" max="1" width="24.7109375" customWidth="1"/>
    <col min="2" max="2" width="13.5703125" customWidth="1"/>
    <col min="3" max="3" width="15.140625" customWidth="1"/>
    <col min="4" max="4" width="14.28515625" customWidth="1"/>
    <col min="7" max="7" width="18.85546875" bestFit="1" customWidth="1"/>
    <col min="10" max="10" width="14" customWidth="1"/>
    <col min="13" max="13" width="14.28515625" customWidth="1"/>
    <col min="14" max="14" width="16.140625" customWidth="1"/>
  </cols>
  <sheetData>
    <row r="1" spans="1:37" ht="15.75" thickBot="1" x14ac:dyDescent="0.3">
      <c r="A1" s="52" t="s">
        <v>10</v>
      </c>
      <c r="B1" s="61" t="s">
        <v>11</v>
      </c>
      <c r="D1" s="52" t="s">
        <v>9</v>
      </c>
      <c r="E1" s="61">
        <f>NIV_CLASSE1+NIV_CLASSE2+IF(NIV_CLASSE2&gt;0,-1,0)</f>
        <v>12</v>
      </c>
      <c r="G1" s="54" t="s">
        <v>42</v>
      </c>
      <c r="H1" s="86">
        <f>SUM(K2:AD2)+CON*(NIV_CLASSE1+NIV_CLASSE2+NIV_CLASSE3)</f>
        <v>65</v>
      </c>
      <c r="J1" s="52" t="s">
        <v>129</v>
      </c>
      <c r="K1" s="58" t="s">
        <v>131</v>
      </c>
      <c r="L1" s="58">
        <v>2</v>
      </c>
      <c r="M1" s="58">
        <v>3</v>
      </c>
      <c r="N1" s="58">
        <v>4</v>
      </c>
      <c r="O1" s="58">
        <v>5</v>
      </c>
      <c r="P1" s="58">
        <v>6</v>
      </c>
      <c r="Q1" s="58">
        <v>7</v>
      </c>
      <c r="R1" s="58">
        <v>8</v>
      </c>
      <c r="S1" s="58">
        <v>9</v>
      </c>
      <c r="T1" s="58">
        <v>10</v>
      </c>
      <c r="U1" s="58">
        <v>11</v>
      </c>
      <c r="V1" s="58">
        <v>12</v>
      </c>
      <c r="W1" s="58">
        <v>13</v>
      </c>
      <c r="X1" s="58">
        <v>14</v>
      </c>
      <c r="Y1" s="58">
        <v>15</v>
      </c>
      <c r="Z1" s="58">
        <v>16</v>
      </c>
      <c r="AA1" s="58">
        <v>17</v>
      </c>
      <c r="AB1" s="58">
        <v>18</v>
      </c>
      <c r="AC1" s="58">
        <v>19</v>
      </c>
      <c r="AD1" s="61">
        <v>20</v>
      </c>
    </row>
    <row r="2" spans="1:37" x14ac:dyDescent="0.25">
      <c r="A2" s="59" t="s">
        <v>246</v>
      </c>
      <c r="B2" s="210">
        <v>6</v>
      </c>
      <c r="D2" s="53" t="s">
        <v>12</v>
      </c>
      <c r="E2" s="73">
        <f>NIV_CLASSE3</f>
        <v>0</v>
      </c>
      <c r="F2" s="129" t="s">
        <v>176</v>
      </c>
      <c r="G2" s="55"/>
      <c r="H2" s="56"/>
      <c r="J2" s="53" t="s">
        <v>130</v>
      </c>
      <c r="K2" s="175">
        <v>8</v>
      </c>
      <c r="L2" s="219">
        <v>6</v>
      </c>
      <c r="M2" s="219">
        <v>2</v>
      </c>
      <c r="N2" s="219">
        <v>1</v>
      </c>
      <c r="O2" s="219">
        <v>6</v>
      </c>
      <c r="P2" s="219">
        <v>1</v>
      </c>
      <c r="Q2" s="219">
        <v>7</v>
      </c>
      <c r="R2" s="219">
        <v>5</v>
      </c>
      <c r="S2" s="219">
        <v>5</v>
      </c>
      <c r="T2" s="219">
        <v>2</v>
      </c>
      <c r="U2" s="219">
        <v>4</v>
      </c>
      <c r="V2" s="219">
        <v>3</v>
      </c>
      <c r="W2" s="219">
        <v>2</v>
      </c>
      <c r="X2" s="219"/>
      <c r="Y2" s="219"/>
      <c r="Z2" s="219"/>
      <c r="AA2" s="219"/>
      <c r="AB2" s="219"/>
      <c r="AC2" s="219"/>
      <c r="AD2" s="218"/>
    </row>
    <row r="3" spans="1:37" x14ac:dyDescent="0.25">
      <c r="A3" s="59" t="s">
        <v>281</v>
      </c>
      <c r="B3" s="210">
        <v>7</v>
      </c>
      <c r="D3" s="75"/>
      <c r="E3" s="75"/>
      <c r="G3" s="55"/>
      <c r="H3" s="56"/>
      <c r="J3" s="16"/>
      <c r="K3" s="16"/>
      <c r="L3" s="16"/>
      <c r="M3" s="16"/>
      <c r="N3" s="16"/>
      <c r="O3" s="16"/>
      <c r="P3" s="16"/>
      <c r="Q3" s="16"/>
      <c r="R3" s="16"/>
      <c r="S3" s="16"/>
      <c r="T3" s="16"/>
      <c r="U3" s="16"/>
      <c r="V3" s="16"/>
      <c r="W3" s="16"/>
      <c r="X3" s="16"/>
      <c r="Y3" s="16"/>
      <c r="Z3" s="16"/>
      <c r="AA3" s="16"/>
      <c r="AB3" s="16"/>
      <c r="AC3" s="16"/>
      <c r="AD3" s="16"/>
      <c r="AE3" s="23"/>
      <c r="AF3" s="23"/>
      <c r="AG3" s="23"/>
      <c r="AH3" s="23"/>
      <c r="AI3" s="23"/>
      <c r="AJ3" s="23"/>
      <c r="AK3" s="23"/>
    </row>
    <row r="4" spans="1:37" x14ac:dyDescent="0.25">
      <c r="A4" s="53"/>
      <c r="B4" s="218">
        <v>0</v>
      </c>
      <c r="G4" s="55"/>
      <c r="H4" s="56"/>
      <c r="J4" s="113" t="s">
        <v>167</v>
      </c>
      <c r="K4" s="116">
        <f>IF($K$5="P",1,0)+IF($K$5="TP",2,0)+IF($K$5="Min",3,0)+IF($K$5="I",4,0)+IF($K$5="G",-1,0)+IF($K$5="TG",-2,0)+IF($K$5="Gig",-3,0)+IF($K$5="C",-4,0)</f>
        <v>0</v>
      </c>
    </row>
    <row r="5" spans="1:37" x14ac:dyDescent="0.25">
      <c r="A5" s="6"/>
      <c r="G5" s="55"/>
      <c r="H5" s="56"/>
      <c r="J5" s="272" t="s">
        <v>387</v>
      </c>
      <c r="K5" s="116" t="str">
        <f>IF(FA,'Formes animales'!B12,Personnage!B10)</f>
        <v>M</v>
      </c>
    </row>
    <row r="6" spans="1:37" x14ac:dyDescent="0.25">
      <c r="A6" s="52" t="s">
        <v>168</v>
      </c>
      <c r="B6" s="79" t="s">
        <v>303</v>
      </c>
      <c r="C6" s="58" t="s">
        <v>0</v>
      </c>
      <c r="D6" s="262" t="s">
        <v>305</v>
      </c>
      <c r="G6" s="55"/>
      <c r="H6" s="56"/>
    </row>
    <row r="7" spans="1:37" x14ac:dyDescent="0.25">
      <c r="A7" s="59" t="s">
        <v>13</v>
      </c>
      <c r="B7" s="221" t="s">
        <v>308</v>
      </c>
      <c r="C7" s="75" t="s">
        <v>128</v>
      </c>
      <c r="D7" s="107" t="s">
        <v>306</v>
      </c>
      <c r="G7" s="55"/>
      <c r="H7" s="56"/>
    </row>
    <row r="8" spans="1:37" s="246" customFormat="1" x14ac:dyDescent="0.25">
      <c r="A8" s="130" t="s">
        <v>239</v>
      </c>
      <c r="B8" s="221">
        <v>100</v>
      </c>
      <c r="C8" s="145" t="s">
        <v>240</v>
      </c>
      <c r="D8" s="210" t="s">
        <v>307</v>
      </c>
      <c r="G8" s="130"/>
      <c r="H8" s="131"/>
    </row>
    <row r="9" spans="1:37" x14ac:dyDescent="0.25">
      <c r="A9" s="59" t="s">
        <v>14</v>
      </c>
      <c r="B9" s="221" t="s">
        <v>304</v>
      </c>
      <c r="C9" s="75" t="s">
        <v>127</v>
      </c>
      <c r="D9" s="210"/>
      <c r="G9" s="55"/>
      <c r="H9" s="56"/>
    </row>
    <row r="10" spans="1:37" x14ac:dyDescent="0.25">
      <c r="A10" s="59" t="s">
        <v>166</v>
      </c>
      <c r="B10" s="16" t="s">
        <v>120</v>
      </c>
      <c r="C10" s="75" t="s">
        <v>159</v>
      </c>
      <c r="D10" s="210" t="s">
        <v>312</v>
      </c>
      <c r="G10" s="55"/>
      <c r="H10" s="56"/>
    </row>
    <row r="11" spans="1:37" ht="15.75" thickBot="1" x14ac:dyDescent="0.3">
      <c r="A11" s="53" t="s">
        <v>15</v>
      </c>
      <c r="B11" s="219" t="s">
        <v>316</v>
      </c>
      <c r="C11" s="46" t="s">
        <v>16</v>
      </c>
      <c r="D11" s="218" t="s">
        <v>317</v>
      </c>
      <c r="G11" s="130"/>
      <c r="H11" s="131"/>
    </row>
    <row r="12" spans="1:37" ht="15.75" thickBot="1" x14ac:dyDescent="0.3">
      <c r="A12" s="6"/>
      <c r="B12" s="6"/>
      <c r="G12" s="54" t="s">
        <v>177</v>
      </c>
      <c r="H12" s="57" t="str">
        <f>IF(H13&lt;=-10,"MORT",IF((SUM(G2:H11)+H14)&gt;PV,"ASSOME","-"))</f>
        <v>-</v>
      </c>
      <c r="I12" s="17"/>
    </row>
    <row r="13" spans="1:37" ht="15.75" thickBot="1" x14ac:dyDescent="0.3">
      <c r="A13" s="6"/>
      <c r="B13" s="22" t="s">
        <v>218</v>
      </c>
      <c r="C13" s="168" t="s">
        <v>219</v>
      </c>
      <c r="D13" s="6" t="s">
        <v>185</v>
      </c>
      <c r="E13" s="127" t="s">
        <v>186</v>
      </c>
      <c r="G13" s="54" t="s">
        <v>44</v>
      </c>
      <c r="H13" s="57">
        <f>H1-SUM(G2:H11)</f>
        <v>65</v>
      </c>
      <c r="I13" s="75"/>
    </row>
    <row r="14" spans="1:37" ht="15.75" thickBot="1" x14ac:dyDescent="0.3">
      <c r="A14" s="113" t="s">
        <v>30</v>
      </c>
      <c r="B14" s="112">
        <f>VITESSE_REDUC</f>
        <v>12</v>
      </c>
      <c r="C14" s="144">
        <f>ROUND(VITESSE/1.5,0)</f>
        <v>8</v>
      </c>
      <c r="D14" s="280">
        <f>IF(FA,'Formes animales'!B11,9)</f>
        <v>9</v>
      </c>
      <c r="E14" s="304">
        <v>3</v>
      </c>
      <c r="G14" s="114" t="s">
        <v>163</v>
      </c>
      <c r="H14" s="115">
        <v>0</v>
      </c>
    </row>
    <row r="15" spans="1:37" ht="15.75" thickBot="1" x14ac:dyDescent="0.3">
      <c r="A15" s="53" t="s">
        <v>31</v>
      </c>
      <c r="B15" s="73">
        <f>C19</f>
        <v>2</v>
      </c>
      <c r="D15" s="113" t="s">
        <v>381</v>
      </c>
      <c r="E15" s="304">
        <v>3</v>
      </c>
      <c r="G15" s="114" t="s">
        <v>164</v>
      </c>
      <c r="H15" s="115">
        <v>0</v>
      </c>
    </row>
    <row r="16" spans="1:37" ht="15.75" thickBot="1" x14ac:dyDescent="0.3">
      <c r="A16" s="75"/>
      <c r="B16" s="16"/>
    </row>
    <row r="17" spans="1:12" x14ac:dyDescent="0.25">
      <c r="B17" s="76" t="s">
        <v>23</v>
      </c>
      <c r="C17" s="74" t="s">
        <v>24</v>
      </c>
      <c r="D17" s="13" t="s">
        <v>25</v>
      </c>
      <c r="E17" s="79" t="s">
        <v>67</v>
      </c>
      <c r="F17" s="122" t="s">
        <v>26</v>
      </c>
      <c r="G17" s="13" t="s">
        <v>380</v>
      </c>
      <c r="H17" s="14" t="s">
        <v>165</v>
      </c>
      <c r="I17" s="127" t="s">
        <v>101</v>
      </c>
    </row>
    <row r="18" spans="1:12" x14ac:dyDescent="0.25">
      <c r="A18" s="52" t="s">
        <v>17</v>
      </c>
      <c r="B18" s="72">
        <f>IF(FA,'Formes animales'!B6+SUM(Personnage!G18:H18),SUM(D18:H18))</f>
        <v>13</v>
      </c>
      <c r="C18" s="26">
        <f t="shared" ref="C18:C23" si="0">IF((B18-10)/2&gt;0,ROUNDDOWN((B18-10)/2,0),ROUNDUP((B18-10)/2,0))</f>
        <v>1</v>
      </c>
      <c r="D18" s="221">
        <v>13</v>
      </c>
      <c r="E18" s="168">
        <v>-2</v>
      </c>
      <c r="F18" s="221"/>
      <c r="G18" s="221">
        <v>2</v>
      </c>
      <c r="H18" s="222"/>
    </row>
    <row r="19" spans="1:12" x14ac:dyDescent="0.25">
      <c r="A19" s="59" t="s">
        <v>18</v>
      </c>
      <c r="B19" s="72">
        <f>IF(FA,'Formes animales'!B7+SUM(Personnage!G19:H19),SUM(D19:H19))</f>
        <v>14</v>
      </c>
      <c r="C19" s="26">
        <f t="shared" si="0"/>
        <v>2</v>
      </c>
      <c r="D19" s="221">
        <v>12</v>
      </c>
      <c r="E19" s="168">
        <v>2</v>
      </c>
      <c r="F19" s="221"/>
      <c r="G19" s="221"/>
      <c r="H19" s="222"/>
    </row>
    <row r="20" spans="1:12" x14ac:dyDescent="0.25">
      <c r="A20" s="59" t="s">
        <v>19</v>
      </c>
      <c r="B20" s="72">
        <f>IF(FA,'Formes animales'!B8+SUM(Personnage!G20:H20),SUM(D20:H20))</f>
        <v>12</v>
      </c>
      <c r="C20" s="26">
        <f t="shared" si="0"/>
        <v>1</v>
      </c>
      <c r="D20" s="221">
        <v>10</v>
      </c>
      <c r="E20" s="168">
        <v>0</v>
      </c>
      <c r="F20" s="221"/>
      <c r="G20" s="221">
        <v>2</v>
      </c>
      <c r="H20" s="222"/>
    </row>
    <row r="21" spans="1:12" x14ac:dyDescent="0.25">
      <c r="A21" s="59" t="s">
        <v>20</v>
      </c>
      <c r="B21" s="72">
        <f>IF(FA,SUM(D21:E21)+SUM(Personnage!G21:H21),SUM(D21:H21))</f>
        <v>16</v>
      </c>
      <c r="C21" s="26">
        <f t="shared" si="0"/>
        <v>3</v>
      </c>
      <c r="D21" s="221">
        <v>16</v>
      </c>
      <c r="E21" s="168">
        <v>0</v>
      </c>
      <c r="F21" s="221"/>
      <c r="G21" s="221"/>
      <c r="H21" s="222"/>
    </row>
    <row r="22" spans="1:12" x14ac:dyDescent="0.25">
      <c r="A22" s="59" t="s">
        <v>21</v>
      </c>
      <c r="B22" s="72">
        <f>IF(FA,SUM(D22:E22)+SUM(Personnage!G22:H22),SUM(D22:H22))</f>
        <v>23</v>
      </c>
      <c r="C22" s="26">
        <f t="shared" si="0"/>
        <v>6</v>
      </c>
      <c r="D22" s="221">
        <v>19</v>
      </c>
      <c r="E22" s="168">
        <v>0</v>
      </c>
      <c r="F22" s="221">
        <v>4</v>
      </c>
      <c r="G22" s="221"/>
      <c r="H22" s="222"/>
    </row>
    <row r="23" spans="1:12" ht="15.75" thickBot="1" x14ac:dyDescent="0.3">
      <c r="A23" s="53" t="s">
        <v>22</v>
      </c>
      <c r="B23" s="175">
        <f>IF(FA,SUM(D23:E23)+SUM(Personnage!G23:H23),SUM(D23:H23))</f>
        <v>8</v>
      </c>
      <c r="C23" s="25">
        <f t="shared" si="0"/>
        <v>-1</v>
      </c>
      <c r="D23" s="219">
        <v>8</v>
      </c>
      <c r="E23" s="175">
        <v>0</v>
      </c>
      <c r="F23" s="219"/>
      <c r="G23" s="219"/>
      <c r="H23" s="223"/>
    </row>
    <row r="25" spans="1:12" x14ac:dyDescent="0.25">
      <c r="A25" s="62" t="s">
        <v>28</v>
      </c>
      <c r="B25" s="262">
        <f>ROUNDDOWN(NIV_CLASSE1*3/4,0)+ROUNDDOWN(NIV_CLASSE2*3/4,0)</f>
        <v>9</v>
      </c>
      <c r="C25" s="23"/>
      <c r="D25" s="23"/>
      <c r="E25" s="23"/>
      <c r="F25" s="23"/>
      <c r="G25" s="23"/>
      <c r="H25" s="23"/>
    </row>
    <row r="26" spans="1:12" x14ac:dyDescent="0.25">
      <c r="A26" s="65" t="s">
        <v>29</v>
      </c>
      <c r="B26" s="107">
        <f>BBA+FOR-TAILLE*4</f>
        <v>10</v>
      </c>
      <c r="C26" s="31"/>
      <c r="D26" s="281"/>
      <c r="E26" s="23"/>
      <c r="F26" s="23"/>
      <c r="G26" s="23"/>
      <c r="H26" s="23"/>
    </row>
    <row r="27" spans="1:12" x14ac:dyDescent="0.25">
      <c r="A27" s="66" t="s">
        <v>169</v>
      </c>
      <c r="B27" s="73">
        <f>BBA+DEX+TAILLE</f>
        <v>11</v>
      </c>
      <c r="C27" s="31"/>
      <c r="D27" s="23"/>
      <c r="E27" s="23"/>
      <c r="F27" s="23"/>
      <c r="G27" s="23"/>
      <c r="H27" s="23"/>
    </row>
    <row r="28" spans="1:12" s="246" customFormat="1" x14ac:dyDescent="0.25">
      <c r="A28" s="168"/>
      <c r="B28" s="168"/>
      <c r="C28" s="31"/>
      <c r="D28" s="250"/>
      <c r="E28" s="250"/>
      <c r="F28" s="250"/>
      <c r="G28" s="250"/>
      <c r="H28" s="250"/>
    </row>
    <row r="29" spans="1:12" s="246" customFormat="1" x14ac:dyDescent="0.25">
      <c r="A29" s="272" t="s">
        <v>272</v>
      </c>
      <c r="B29" s="274">
        <v>0</v>
      </c>
      <c r="C29" s="273" t="s">
        <v>278</v>
      </c>
      <c r="D29" s="287">
        <v>2</v>
      </c>
      <c r="E29" s="182" t="s">
        <v>383</v>
      </c>
      <c r="F29" s="36"/>
      <c r="G29" s="287" t="str">
        <f>FORME_ANIMALE</f>
        <v>Guépard</v>
      </c>
      <c r="H29" s="286" t="b">
        <v>0</v>
      </c>
      <c r="I29" s="113" t="s">
        <v>399</v>
      </c>
      <c r="J29" s="301">
        <f>NGE+CON</f>
        <v>13</v>
      </c>
      <c r="K29" s="113" t="s">
        <v>398</v>
      </c>
      <c r="L29" s="116">
        <f>NIV_CLASSE1</f>
        <v>6</v>
      </c>
    </row>
    <row r="30" spans="1:12" s="246" customFormat="1" x14ac:dyDescent="0.25">
      <c r="A30" s="272" t="s">
        <v>291</v>
      </c>
      <c r="B30" s="274">
        <v>0</v>
      </c>
      <c r="C30" s="273" t="s">
        <v>278</v>
      </c>
      <c r="D30" s="186">
        <v>1</v>
      </c>
      <c r="E30" s="250"/>
      <c r="F30" s="250"/>
      <c r="G30" s="250"/>
      <c r="H30" s="250"/>
    </row>
    <row r="31" spans="1:12" s="246" customFormat="1" x14ac:dyDescent="0.25">
      <c r="A31" s="272" t="s">
        <v>280</v>
      </c>
      <c r="B31" s="274">
        <v>0</v>
      </c>
      <c r="C31" s="273" t="s">
        <v>278</v>
      </c>
      <c r="D31" s="186">
        <f>IF(NIV_CLASSE2&lt;10,3,4)</f>
        <v>3</v>
      </c>
      <c r="E31" s="250"/>
      <c r="F31" s="250"/>
      <c r="G31" s="250"/>
      <c r="H31" s="250"/>
    </row>
    <row r="32" spans="1:12" x14ac:dyDescent="0.25">
      <c r="A32" s="16"/>
      <c r="B32" s="16"/>
      <c r="C32" s="31"/>
      <c r="D32" s="23"/>
      <c r="E32" s="23"/>
      <c r="F32" s="23"/>
      <c r="G32" s="23"/>
      <c r="H32" s="23"/>
    </row>
    <row r="33" spans="1:16" x14ac:dyDescent="0.25">
      <c r="A33" s="196" t="s">
        <v>133</v>
      </c>
      <c r="B33" s="197" t="s">
        <v>68</v>
      </c>
      <c r="C33" s="197" t="s">
        <v>117</v>
      </c>
      <c r="D33" s="198" t="s">
        <v>134</v>
      </c>
      <c r="E33" s="63" t="s">
        <v>69</v>
      </c>
      <c r="F33" s="63" t="s">
        <v>132</v>
      </c>
      <c r="G33" s="63" t="s">
        <v>70</v>
      </c>
      <c r="H33" s="63" t="s">
        <v>136</v>
      </c>
      <c r="I33" s="64" t="s">
        <v>135</v>
      </c>
      <c r="J33" s="126" t="s">
        <v>173</v>
      </c>
    </row>
    <row r="34" spans="1:16" s="246" customFormat="1" x14ac:dyDescent="0.25">
      <c r="A34" s="276" t="s">
        <v>441</v>
      </c>
      <c r="B34" s="277">
        <f>BBA+FOR+TAILLE+H34+IF(H34=0,IF(I34="Oui",1,0),0)</f>
        <v>10</v>
      </c>
      <c r="C34" s="277" t="s">
        <v>103</v>
      </c>
      <c r="D34" s="308">
        <f>FOR+H34</f>
        <v>1</v>
      </c>
      <c r="E34" s="168" t="s">
        <v>103</v>
      </c>
      <c r="F34" s="168" t="s">
        <v>103</v>
      </c>
      <c r="G34" s="168" t="s">
        <v>103</v>
      </c>
      <c r="H34" s="221">
        <v>0</v>
      </c>
      <c r="I34" s="107" t="s">
        <v>265</v>
      </c>
      <c r="J34" s="126"/>
    </row>
    <row r="35" spans="1:16" x14ac:dyDescent="0.25">
      <c r="A35" s="276" t="s">
        <v>336</v>
      </c>
      <c r="B35" s="277">
        <f>BBA+FOR+TAILLE+H35+IF(H35=0,IF(I35="Oui",1,0),0)</f>
        <v>11</v>
      </c>
      <c r="C35" s="224" t="s">
        <v>212</v>
      </c>
      <c r="D35" s="225">
        <f>FOR+H35</f>
        <v>2</v>
      </c>
      <c r="E35" s="221" t="s">
        <v>263</v>
      </c>
      <c r="F35" s="221" t="s">
        <v>103</v>
      </c>
      <c r="G35" s="221" t="s">
        <v>211</v>
      </c>
      <c r="H35" s="221">
        <v>1</v>
      </c>
      <c r="I35" s="210" t="s">
        <v>337</v>
      </c>
    </row>
    <row r="36" spans="1:16" x14ac:dyDescent="0.25">
      <c r="A36" s="278" t="s">
        <v>309</v>
      </c>
      <c r="B36" s="279">
        <f>BBA+FOR+TAILLE+H36+IF(H36=0,IF(I36="Oui",1,0),0)</f>
        <v>10</v>
      </c>
      <c r="C36" s="226" t="s">
        <v>212</v>
      </c>
      <c r="D36" s="270">
        <f>FOR+H36</f>
        <v>1</v>
      </c>
      <c r="E36" s="219" t="s">
        <v>311</v>
      </c>
      <c r="F36" s="219" t="s">
        <v>310</v>
      </c>
      <c r="G36" s="219" t="s">
        <v>264</v>
      </c>
      <c r="H36" s="219">
        <v>0</v>
      </c>
      <c r="I36" s="218" t="s">
        <v>265</v>
      </c>
    </row>
    <row r="37" spans="1:16" ht="15.75" thickBot="1" x14ac:dyDescent="0.3">
      <c r="A37" s="194"/>
      <c r="B37" s="195"/>
      <c r="C37" s="199"/>
      <c r="D37" s="199"/>
      <c r="E37" s="24"/>
      <c r="F37" s="23"/>
      <c r="G37" s="23"/>
      <c r="H37" s="23"/>
    </row>
    <row r="38" spans="1:16" x14ac:dyDescent="0.25">
      <c r="A38" s="194"/>
      <c r="B38" s="200" t="s">
        <v>23</v>
      </c>
      <c r="C38" s="197" t="s">
        <v>38</v>
      </c>
      <c r="D38" s="197" t="s">
        <v>39</v>
      </c>
      <c r="E38" s="49" t="s">
        <v>18</v>
      </c>
      <c r="F38" s="49" t="s">
        <v>15</v>
      </c>
      <c r="G38" s="49" t="s">
        <v>40</v>
      </c>
      <c r="H38" s="49" t="s">
        <v>41</v>
      </c>
      <c r="I38" s="50" t="s">
        <v>100</v>
      </c>
      <c r="J38" s="122" t="s">
        <v>170</v>
      </c>
      <c r="K38" s="122" t="s">
        <v>384</v>
      </c>
      <c r="L38" s="51" t="s">
        <v>165</v>
      </c>
      <c r="M38" s="117" t="s">
        <v>101</v>
      </c>
      <c r="N38" s="17"/>
      <c r="O38" s="17"/>
      <c r="P38" s="17"/>
    </row>
    <row r="39" spans="1:16" x14ac:dyDescent="0.25">
      <c r="A39" s="201" t="s">
        <v>37</v>
      </c>
      <c r="B39" s="202">
        <f>10+IF(FA,SUM(E39:G39)+K39,SUM(C39:J39))+L39+IF(DEF_TOTALE=TRUE,4+IF(Compétences!O2&gt;=5,2,0),0)</f>
        <v>20</v>
      </c>
      <c r="C39" s="252">
        <v>6</v>
      </c>
      <c r="D39" s="226">
        <v>2</v>
      </c>
      <c r="E39" s="69">
        <f>IF(DEX_MAX&lt;&gt;"-",IF(DEX&lt;DEX_MAX,DEX,DEX_MAX),DEX)</f>
        <v>2</v>
      </c>
      <c r="F39" s="19">
        <f>TAILLE</f>
        <v>0</v>
      </c>
      <c r="G39" s="175">
        <f>IF(FA,'Formes animales'!B13,0)</f>
        <v>0</v>
      </c>
      <c r="H39" s="219">
        <v>0</v>
      </c>
      <c r="I39" s="219">
        <v>0</v>
      </c>
      <c r="J39" s="219">
        <v>0</v>
      </c>
      <c r="K39" s="219">
        <v>0</v>
      </c>
      <c r="L39" s="223">
        <v>0</v>
      </c>
      <c r="M39" s="117"/>
      <c r="N39" s="123"/>
      <c r="O39" s="17"/>
      <c r="P39" s="17"/>
    </row>
    <row r="40" spans="1:16" x14ac:dyDescent="0.25">
      <c r="A40" s="120" t="s">
        <v>114</v>
      </c>
      <c r="B40" s="118">
        <f>10+E39+F39+IF(FA,K39,H39+I39+J39)+L39+IF(DEF_TOTALE=TRUE,4+IF(Compétences!O2&gt;=5,2,0),0)</f>
        <v>12</v>
      </c>
      <c r="C40" s="34" t="s">
        <v>172</v>
      </c>
      <c r="E40" s="125" t="b">
        <v>0</v>
      </c>
      <c r="F40" s="16"/>
      <c r="G40" s="16"/>
      <c r="H40" s="16"/>
      <c r="I40" s="16"/>
    </row>
    <row r="41" spans="1:16" ht="15.75" thickBot="1" x14ac:dyDescent="0.3">
      <c r="A41" s="121" t="s">
        <v>123</v>
      </c>
      <c r="B41" s="119">
        <f>10+IF(FA,G39+F39+K39,SUM(C39:D39)+SUM(F39:I39))+L39+IF(DEX&lt;=0,DEX,0)+IF(DEF_TOTALE=TRUE,4+IF(Compétences!O2&gt;=5,2,0),0)</f>
        <v>18</v>
      </c>
      <c r="F41" s="16"/>
      <c r="G41" s="16"/>
      <c r="H41" s="16"/>
      <c r="I41" s="16"/>
    </row>
    <row r="42" spans="1:16" ht="15.75" thickBot="1" x14ac:dyDescent="0.3">
      <c r="A42" s="23"/>
      <c r="B42" s="23"/>
      <c r="C42" s="23"/>
      <c r="D42" s="23"/>
      <c r="E42" s="23"/>
      <c r="F42" s="23"/>
      <c r="G42" s="23"/>
      <c r="H42" s="23"/>
    </row>
    <row r="43" spans="1:16" x14ac:dyDescent="0.25">
      <c r="A43" s="22"/>
      <c r="B43" s="48" t="s">
        <v>23</v>
      </c>
      <c r="C43" s="71" t="s">
        <v>25</v>
      </c>
      <c r="D43" s="49" t="s">
        <v>35</v>
      </c>
      <c r="E43" s="78" t="s">
        <v>126</v>
      </c>
      <c r="F43" s="79" t="s">
        <v>67</v>
      </c>
      <c r="G43" s="79" t="s">
        <v>237</v>
      </c>
      <c r="H43" s="79" t="s">
        <v>27</v>
      </c>
      <c r="I43" s="262" t="s">
        <v>165</v>
      </c>
      <c r="J43" s="250" t="s">
        <v>101</v>
      </c>
    </row>
    <row r="44" spans="1:16" x14ac:dyDescent="0.25">
      <c r="A44" s="62" t="s">
        <v>32</v>
      </c>
      <c r="B44" s="67">
        <f>SUM(C44:I44)</f>
        <v>6</v>
      </c>
      <c r="C44" s="168">
        <f>ROUNDDOWN(NIV_CLASSE1/3,0)+ROUNDDOWN(NIV_CLASSE2/3,0)</f>
        <v>4</v>
      </c>
      <c r="D44" s="16">
        <f>C19</f>
        <v>2</v>
      </c>
      <c r="E44" s="221"/>
      <c r="F44" s="221"/>
      <c r="G44" s="221"/>
      <c r="H44" s="221"/>
      <c r="I44" s="305"/>
      <c r="J44" s="31"/>
    </row>
    <row r="45" spans="1:16" x14ac:dyDescent="0.25">
      <c r="A45" s="65" t="s">
        <v>33</v>
      </c>
      <c r="B45" s="118">
        <f>SUM(C45:I45)</f>
        <v>11</v>
      </c>
      <c r="C45" s="168">
        <f>ROUNDDOWN(NIV_CLASSE1/2+2,0)+ROUNDDOWN(NIV_CLASSE2/2+2,0)</f>
        <v>10</v>
      </c>
      <c r="D45" s="16">
        <f>C20</f>
        <v>1</v>
      </c>
      <c r="E45" s="221"/>
      <c r="F45" s="221"/>
      <c r="G45" s="221"/>
      <c r="H45" s="221"/>
      <c r="I45" s="305"/>
      <c r="J45" s="31"/>
    </row>
    <row r="46" spans="1:16" ht="15.75" thickBot="1" x14ac:dyDescent="0.3">
      <c r="A46" s="66" t="s">
        <v>34</v>
      </c>
      <c r="B46" s="68">
        <f>SUM(C46:I46)</f>
        <v>16</v>
      </c>
      <c r="C46" s="175">
        <f>ROUNDDOWN(NIV_CLASSE1/2+2,0)+ROUNDDOWN(NIV_CLASSE2/2+2,0)</f>
        <v>10</v>
      </c>
      <c r="D46" s="19">
        <f>C22</f>
        <v>6</v>
      </c>
      <c r="E46" s="219"/>
      <c r="F46" s="219"/>
      <c r="G46" s="219"/>
      <c r="H46" s="219"/>
      <c r="I46" s="306"/>
      <c r="J46" s="31" t="s">
        <v>321</v>
      </c>
    </row>
    <row r="47" spans="1:16" x14ac:dyDescent="0.25">
      <c r="A47" s="23"/>
      <c r="B47" s="23"/>
      <c r="C47" s="23"/>
      <c r="D47" s="23"/>
      <c r="E47" s="23"/>
      <c r="F47" s="23"/>
      <c r="G47" s="23"/>
      <c r="H47" s="23"/>
    </row>
    <row r="48" spans="1:16" x14ac:dyDescent="0.25">
      <c r="A48" s="23"/>
      <c r="B48" s="23"/>
      <c r="C48" s="23"/>
      <c r="D48" s="23"/>
      <c r="E48" s="23"/>
      <c r="F48" s="23"/>
      <c r="G48" s="23"/>
      <c r="H48" s="23"/>
    </row>
    <row r="49" spans="1:8" ht="15.75" thickBot="1" x14ac:dyDescent="0.3">
      <c r="A49" s="81" t="s">
        <v>51</v>
      </c>
      <c r="B49" s="70" t="s">
        <v>202</v>
      </c>
      <c r="C49" s="186">
        <f>SAG</f>
        <v>6</v>
      </c>
      <c r="D49" s="23"/>
      <c r="E49" s="23"/>
      <c r="F49" s="23"/>
      <c r="G49" s="23"/>
      <c r="H49" s="23"/>
    </row>
    <row r="50" spans="1:8" x14ac:dyDescent="0.25">
      <c r="A50" s="65" t="s">
        <v>11</v>
      </c>
      <c r="B50" s="48" t="s">
        <v>50</v>
      </c>
      <c r="C50" s="168" t="s">
        <v>25</v>
      </c>
      <c r="D50" s="80" t="s">
        <v>52</v>
      </c>
      <c r="E50" s="23"/>
      <c r="F50" s="23"/>
      <c r="G50" s="23"/>
      <c r="H50" s="23"/>
    </row>
    <row r="51" spans="1:8" x14ac:dyDescent="0.25">
      <c r="A51" s="65">
        <v>0</v>
      </c>
      <c r="B51" s="26">
        <f>SUM(C51:D51)</f>
        <v>6</v>
      </c>
      <c r="C51" s="221">
        <v>6</v>
      </c>
      <c r="D51" s="27">
        <v>0</v>
      </c>
      <c r="E51" s="23"/>
      <c r="F51" s="23"/>
      <c r="G51" s="23"/>
      <c r="H51" s="23"/>
    </row>
    <row r="52" spans="1:8" x14ac:dyDescent="0.25">
      <c r="A52" s="65">
        <v>1</v>
      </c>
      <c r="B52" s="26">
        <f t="shared" ref="B52:B60" si="1">SUM(C52:D52)</f>
        <v>7</v>
      </c>
      <c r="C52" s="221">
        <v>5</v>
      </c>
      <c r="D52" s="27">
        <f>IF(A52&gt;0,IF(ROUNDUP((MAGIE+1-A52)/4,0)&gt;0,ROUNDUP((MAGIE+1-A52)/4,0),0),0)</f>
        <v>2</v>
      </c>
      <c r="E52" s="23"/>
      <c r="F52" s="23"/>
      <c r="G52" s="23"/>
      <c r="H52" s="23"/>
    </row>
    <row r="53" spans="1:8" x14ac:dyDescent="0.25">
      <c r="A53" s="65">
        <v>2</v>
      </c>
      <c r="B53" s="26">
        <f t="shared" si="1"/>
        <v>7</v>
      </c>
      <c r="C53" s="221">
        <v>5</v>
      </c>
      <c r="D53" s="27">
        <f t="shared" ref="D53:D60" si="2">IF(A53&gt;0,IF(ROUNDUP((MAGIE+1-A53)/4,0)&gt;0,ROUNDUP((MAGIE+1-A53)/4,0),0),0)</f>
        <v>2</v>
      </c>
      <c r="E53" s="23"/>
      <c r="F53" s="23"/>
      <c r="G53" s="23"/>
      <c r="H53" s="23"/>
    </row>
    <row r="54" spans="1:8" x14ac:dyDescent="0.25">
      <c r="A54" s="65">
        <v>3</v>
      </c>
      <c r="B54" s="26">
        <f t="shared" si="1"/>
        <v>6</v>
      </c>
      <c r="C54" s="221">
        <v>5</v>
      </c>
      <c r="D54" s="27">
        <f t="shared" si="2"/>
        <v>1</v>
      </c>
      <c r="E54" s="23"/>
      <c r="F54" s="23"/>
      <c r="G54" s="23"/>
      <c r="H54" s="23"/>
    </row>
    <row r="55" spans="1:8" x14ac:dyDescent="0.25">
      <c r="A55" s="65">
        <v>4</v>
      </c>
      <c r="B55" s="26">
        <f t="shared" si="1"/>
        <v>4</v>
      </c>
      <c r="C55" s="221">
        <v>3</v>
      </c>
      <c r="D55" s="27">
        <f t="shared" si="2"/>
        <v>1</v>
      </c>
      <c r="E55" s="23"/>
      <c r="F55" s="23"/>
      <c r="G55" s="23"/>
      <c r="H55" s="23"/>
    </row>
    <row r="56" spans="1:8" x14ac:dyDescent="0.25">
      <c r="A56" s="65">
        <v>5</v>
      </c>
      <c r="B56" s="26">
        <f t="shared" si="1"/>
        <v>4</v>
      </c>
      <c r="C56" s="221">
        <v>3</v>
      </c>
      <c r="D56" s="27">
        <f>IF(A56&gt;0,IF(ROUNDUP((MAGIE+1-A56)/4,0)&gt;0,ROUNDUP((MAGIE+1-A56)/4,0),0),0)</f>
        <v>1</v>
      </c>
      <c r="E56" s="23"/>
      <c r="F56" s="23"/>
      <c r="G56" s="23"/>
      <c r="H56" s="23"/>
    </row>
    <row r="57" spans="1:8" x14ac:dyDescent="0.25">
      <c r="A57" s="65">
        <v>6</v>
      </c>
      <c r="B57" s="26">
        <f t="shared" si="1"/>
        <v>3</v>
      </c>
      <c r="C57" s="221">
        <v>2</v>
      </c>
      <c r="D57" s="27">
        <f t="shared" si="2"/>
        <v>1</v>
      </c>
      <c r="E57" s="23"/>
      <c r="F57" s="23"/>
      <c r="G57" s="23"/>
      <c r="H57" s="23"/>
    </row>
    <row r="58" spans="1:8" x14ac:dyDescent="0.25">
      <c r="A58" s="65">
        <v>7</v>
      </c>
      <c r="B58" s="26">
        <f t="shared" si="1"/>
        <v>0</v>
      </c>
      <c r="C58" s="221"/>
      <c r="D58" s="27">
        <f t="shared" si="2"/>
        <v>0</v>
      </c>
      <c r="E58" s="23"/>
      <c r="F58" s="23"/>
      <c r="G58" s="23"/>
      <c r="H58" s="23"/>
    </row>
    <row r="59" spans="1:8" x14ac:dyDescent="0.25">
      <c r="A59" s="65">
        <v>8</v>
      </c>
      <c r="B59" s="26">
        <f t="shared" si="1"/>
        <v>0</v>
      </c>
      <c r="C59" s="221"/>
      <c r="D59" s="27">
        <f t="shared" si="2"/>
        <v>0</v>
      </c>
      <c r="E59" s="23"/>
      <c r="F59" s="23"/>
      <c r="G59" s="23"/>
      <c r="H59" s="23"/>
    </row>
    <row r="60" spans="1:8" ht="15.75" thickBot="1" x14ac:dyDescent="0.3">
      <c r="A60" s="66">
        <v>9</v>
      </c>
      <c r="B60" s="25">
        <f t="shared" si="1"/>
        <v>0</v>
      </c>
      <c r="C60" s="219"/>
      <c r="D60" s="28">
        <f t="shared" si="2"/>
        <v>0</v>
      </c>
      <c r="E60" s="23"/>
      <c r="F60" s="23"/>
      <c r="G60" s="23"/>
      <c r="H60" s="23"/>
    </row>
    <row r="61" spans="1:8" x14ac:dyDescent="0.25">
      <c r="A61" s="20"/>
      <c r="B61" s="20"/>
      <c r="C61" s="20"/>
      <c r="D61" s="23"/>
      <c r="E61" s="23"/>
      <c r="F61" s="23"/>
      <c r="G61" s="23"/>
      <c r="H61" s="23"/>
    </row>
    <row r="62" spans="1:8" x14ac:dyDescent="0.25">
      <c r="A62" s="82" t="s">
        <v>53</v>
      </c>
      <c r="B62" s="23" t="s">
        <v>101</v>
      </c>
      <c r="C62" s="23" t="s">
        <v>99</v>
      </c>
      <c r="D62" s="23"/>
      <c r="E62" s="23"/>
      <c r="F62" s="23"/>
      <c r="G62" s="23"/>
      <c r="H62" s="23"/>
    </row>
    <row r="63" spans="1:8" x14ac:dyDescent="0.25">
      <c r="A63" s="227" t="s">
        <v>266</v>
      </c>
      <c r="B63" s="32" t="s">
        <v>267</v>
      </c>
      <c r="F63" s="32"/>
      <c r="G63" s="23"/>
      <c r="H63" s="23"/>
    </row>
    <row r="64" spans="1:8" x14ac:dyDescent="0.25">
      <c r="A64" s="227" t="s">
        <v>274</v>
      </c>
      <c r="B64" s="32" t="s">
        <v>267</v>
      </c>
      <c r="C64" s="32" t="s">
        <v>302</v>
      </c>
      <c r="D64" s="190"/>
      <c r="E64" s="32"/>
      <c r="F64" s="23"/>
      <c r="G64" s="23"/>
      <c r="H64" s="100">
        <f>NIV_CLASSE1+CHA</f>
        <v>5</v>
      </c>
    </row>
    <row r="65" spans="1:20" x14ac:dyDescent="0.25">
      <c r="A65" s="227" t="s">
        <v>268</v>
      </c>
      <c r="B65" s="32" t="s">
        <v>267</v>
      </c>
      <c r="C65" s="31" t="s">
        <v>301</v>
      </c>
      <c r="D65" s="23"/>
      <c r="E65" s="23"/>
      <c r="F65" s="23"/>
      <c r="G65" s="23"/>
      <c r="H65" s="23"/>
    </row>
    <row r="66" spans="1:20" x14ac:dyDescent="0.25">
      <c r="A66" s="227" t="s">
        <v>275</v>
      </c>
      <c r="B66" s="32" t="s">
        <v>269</v>
      </c>
      <c r="C66" s="32" t="s">
        <v>299</v>
      </c>
      <c r="D66" s="23"/>
      <c r="E66" s="23"/>
      <c r="F66" s="23"/>
      <c r="G66" s="23"/>
      <c r="H66" s="23"/>
    </row>
    <row r="67" spans="1:20" x14ac:dyDescent="0.25">
      <c r="A67" s="227" t="s">
        <v>271</v>
      </c>
      <c r="B67" s="32" t="s">
        <v>270</v>
      </c>
      <c r="C67" s="32" t="s">
        <v>300</v>
      </c>
      <c r="D67" s="23"/>
      <c r="E67" s="23"/>
      <c r="F67" s="23"/>
      <c r="G67" s="23"/>
      <c r="H67" s="23"/>
    </row>
    <row r="68" spans="1:20" x14ac:dyDescent="0.25">
      <c r="A68" s="227" t="s">
        <v>277</v>
      </c>
      <c r="B68" s="32" t="s">
        <v>276</v>
      </c>
      <c r="C68" s="31" t="s">
        <v>297</v>
      </c>
      <c r="D68" s="23"/>
      <c r="E68" s="23"/>
      <c r="F68" s="23"/>
      <c r="G68" s="23"/>
      <c r="H68" s="23"/>
    </row>
    <row r="69" spans="1:20" x14ac:dyDescent="0.25">
      <c r="A69" s="227" t="s">
        <v>272</v>
      </c>
      <c r="B69" s="32" t="s">
        <v>273</v>
      </c>
      <c r="C69" s="217" t="s">
        <v>377</v>
      </c>
      <c r="D69" s="17"/>
      <c r="E69" s="17"/>
      <c r="F69" s="17"/>
      <c r="G69" s="17"/>
      <c r="H69" s="17"/>
      <c r="I69" s="17"/>
      <c r="J69" s="17"/>
    </row>
    <row r="70" spans="1:20" x14ac:dyDescent="0.25">
      <c r="A70" s="227" t="s">
        <v>279</v>
      </c>
      <c r="B70" s="32" t="s">
        <v>282</v>
      </c>
      <c r="C70" s="32" t="s">
        <v>292</v>
      </c>
      <c r="D70" s="20"/>
      <c r="E70" s="20"/>
      <c r="F70" s="20"/>
      <c r="G70" s="20"/>
      <c r="H70" s="20"/>
      <c r="I70" s="17"/>
      <c r="J70" s="17"/>
    </row>
    <row r="71" spans="1:20" s="246" customFormat="1" x14ac:dyDescent="0.25">
      <c r="A71" s="227" t="s">
        <v>285</v>
      </c>
      <c r="B71" s="32" t="s">
        <v>282</v>
      </c>
      <c r="C71" s="32" t="s">
        <v>298</v>
      </c>
      <c r="D71" s="249"/>
      <c r="E71" s="249"/>
      <c r="F71" s="249"/>
      <c r="G71" s="249"/>
      <c r="H71" s="249"/>
      <c r="I71" s="257"/>
      <c r="J71" s="257"/>
    </row>
    <row r="72" spans="1:20" x14ac:dyDescent="0.25">
      <c r="A72" s="227" t="s">
        <v>280</v>
      </c>
      <c r="B72" s="32" t="s">
        <v>283</v>
      </c>
      <c r="C72" s="32" t="s">
        <v>293</v>
      </c>
      <c r="D72" s="20"/>
      <c r="E72" s="100">
        <f>10+NIV_CLASSE2+SAG</f>
        <v>23</v>
      </c>
      <c r="F72" s="20" t="s">
        <v>294</v>
      </c>
      <c r="G72" s="275">
        <f>NIV_CLASSE2</f>
        <v>7</v>
      </c>
      <c r="H72" s="20" t="s">
        <v>295</v>
      </c>
      <c r="I72" s="17"/>
      <c r="J72" s="17"/>
      <c r="S72" s="101">
        <f>NIV_CLASSE2</f>
        <v>7</v>
      </c>
      <c r="T72" t="s">
        <v>296</v>
      </c>
    </row>
    <row r="73" spans="1:20" x14ac:dyDescent="0.25">
      <c r="A73" s="227" t="s">
        <v>284</v>
      </c>
      <c r="B73" s="32" t="s">
        <v>287</v>
      </c>
      <c r="C73" s="32" t="s">
        <v>288</v>
      </c>
      <c r="D73" s="16"/>
      <c r="E73" s="16"/>
      <c r="F73" s="20"/>
      <c r="G73" s="20"/>
      <c r="H73" s="20"/>
      <c r="I73" s="20"/>
      <c r="J73" s="17"/>
    </row>
    <row r="74" spans="1:20" x14ac:dyDescent="0.25">
      <c r="A74" s="227" t="s">
        <v>289</v>
      </c>
      <c r="B74" s="32" t="s">
        <v>286</v>
      </c>
      <c r="C74" s="32" t="s">
        <v>290</v>
      </c>
      <c r="D74" s="20"/>
      <c r="E74" s="16"/>
      <c r="F74" s="20"/>
      <c r="G74" s="20"/>
      <c r="H74" s="100">
        <f>10+NIV_CLASSE2</f>
        <v>17</v>
      </c>
      <c r="I74" s="17"/>
      <c r="J74" s="17"/>
    </row>
    <row r="75" spans="1:20" x14ac:dyDescent="0.25">
      <c r="A75" s="227"/>
      <c r="B75" s="32"/>
      <c r="C75" s="32"/>
      <c r="D75" s="16"/>
      <c r="E75" s="17"/>
      <c r="F75" s="17"/>
      <c r="G75" s="75"/>
      <c r="H75" s="20"/>
      <c r="I75" s="20"/>
      <c r="J75" s="16"/>
    </row>
    <row r="76" spans="1:20" x14ac:dyDescent="0.25">
      <c r="A76" s="227"/>
      <c r="B76" s="32"/>
      <c r="C76" s="32"/>
      <c r="D76" s="20"/>
      <c r="E76" s="20"/>
      <c r="F76" s="20"/>
      <c r="G76" s="20"/>
      <c r="H76" s="20"/>
      <c r="I76" s="17"/>
      <c r="J76" s="17"/>
    </row>
    <row r="77" spans="1:20" x14ac:dyDescent="0.25">
      <c r="A77" s="228"/>
      <c r="B77" s="31"/>
      <c r="C77" s="23"/>
      <c r="D77" s="23"/>
      <c r="E77" s="23"/>
      <c r="F77" s="23"/>
      <c r="G77" s="23"/>
      <c r="H77" s="23"/>
    </row>
    <row r="78" spans="1:20" x14ac:dyDescent="0.25">
      <c r="A78" s="23"/>
      <c r="B78" s="23"/>
      <c r="C78" s="23"/>
      <c r="D78" s="23"/>
      <c r="E78" s="23"/>
      <c r="F78" s="23"/>
      <c r="G78" s="23"/>
      <c r="H78" s="23"/>
    </row>
    <row r="79" spans="1:20" x14ac:dyDescent="0.25">
      <c r="A79" s="193" t="s">
        <v>54</v>
      </c>
      <c r="B79" s="23" t="s">
        <v>101</v>
      </c>
      <c r="C79" s="23" t="s">
        <v>99</v>
      </c>
      <c r="D79" s="23"/>
      <c r="E79" s="23"/>
      <c r="F79" s="23"/>
      <c r="G79" s="23"/>
      <c r="H79" s="23"/>
    </row>
    <row r="80" spans="1:20" x14ac:dyDescent="0.25">
      <c r="A80" s="229" t="s">
        <v>375</v>
      </c>
      <c r="B80" t="s">
        <v>347</v>
      </c>
      <c r="C80" s="32" t="s">
        <v>346</v>
      </c>
      <c r="D80" s="23"/>
      <c r="E80" s="23"/>
      <c r="F80" s="23"/>
      <c r="G80" s="23"/>
      <c r="H80" s="23"/>
    </row>
    <row r="81" spans="1:8" x14ac:dyDescent="0.25">
      <c r="A81" s="229" t="s">
        <v>313</v>
      </c>
      <c r="B81" t="s">
        <v>348</v>
      </c>
      <c r="C81" s="32" t="s">
        <v>345</v>
      </c>
      <c r="D81" s="23"/>
      <c r="E81" s="23"/>
      <c r="F81" s="23"/>
      <c r="G81" s="23"/>
      <c r="H81" s="23"/>
    </row>
    <row r="82" spans="1:8" x14ac:dyDescent="0.25">
      <c r="A82" s="229" t="s">
        <v>314</v>
      </c>
      <c r="B82" t="s">
        <v>349</v>
      </c>
      <c r="C82" s="32" t="s">
        <v>350</v>
      </c>
      <c r="D82" s="32"/>
      <c r="E82" s="23"/>
      <c r="F82" s="23"/>
      <c r="G82" s="23"/>
      <c r="H82" s="23"/>
    </row>
    <row r="83" spans="1:8" x14ac:dyDescent="0.25">
      <c r="A83" s="229" t="s">
        <v>315</v>
      </c>
      <c r="B83" t="s">
        <v>355</v>
      </c>
      <c r="C83" s="32" t="s">
        <v>344</v>
      </c>
      <c r="D83" s="23"/>
      <c r="E83" s="23"/>
      <c r="F83" s="23"/>
      <c r="G83" s="23"/>
      <c r="H83" s="23"/>
    </row>
    <row r="84" spans="1:8" x14ac:dyDescent="0.25">
      <c r="A84" s="229" t="s">
        <v>319</v>
      </c>
      <c r="B84" t="s">
        <v>356</v>
      </c>
      <c r="C84" s="31" t="s">
        <v>320</v>
      </c>
      <c r="D84" s="23"/>
      <c r="E84" s="23"/>
      <c r="F84" s="23"/>
      <c r="G84" s="23"/>
      <c r="H84" s="23"/>
    </row>
    <row r="85" spans="1:8" x14ac:dyDescent="0.25">
      <c r="A85" s="229"/>
      <c r="B85" s="32"/>
      <c r="C85" s="23"/>
      <c r="D85" s="23"/>
      <c r="E85" s="23"/>
      <c r="F85" s="23"/>
      <c r="G85" s="23"/>
      <c r="H85" s="23"/>
    </row>
    <row r="86" spans="1:8" x14ac:dyDescent="0.25">
      <c r="A86" s="229"/>
      <c r="B86" s="32"/>
      <c r="C86" s="23"/>
      <c r="D86" s="23"/>
      <c r="E86" s="23"/>
      <c r="F86" s="23"/>
      <c r="G86" s="23"/>
      <c r="H86" s="23"/>
    </row>
    <row r="87" spans="1:8" x14ac:dyDescent="0.25">
      <c r="A87" s="229"/>
      <c r="B87" s="32"/>
      <c r="C87" s="23"/>
      <c r="D87" s="23"/>
      <c r="E87" s="23"/>
      <c r="F87" s="23"/>
      <c r="G87" s="23"/>
      <c r="H87" s="23"/>
    </row>
    <row r="88" spans="1:8" x14ac:dyDescent="0.25">
      <c r="A88" s="229"/>
      <c r="B88" s="32"/>
      <c r="C88" s="23"/>
      <c r="E88" s="23"/>
      <c r="F88" s="23"/>
      <c r="G88" s="23"/>
      <c r="H88" s="23"/>
    </row>
    <row r="89" spans="1:8" x14ac:dyDescent="0.25">
      <c r="A89" s="230"/>
      <c r="B89" s="32"/>
      <c r="C89" s="23"/>
      <c r="D89" s="23"/>
      <c r="E89" s="23"/>
      <c r="F89" s="23"/>
      <c r="G89" s="23"/>
      <c r="H89" s="23"/>
    </row>
    <row r="90" spans="1:8" x14ac:dyDescent="0.25">
      <c r="A90" s="20"/>
      <c r="B90" s="32"/>
      <c r="C90" s="23"/>
      <c r="D90" s="23"/>
      <c r="E90" s="23"/>
      <c r="F90" s="23"/>
      <c r="G90" s="23"/>
      <c r="H90" s="23"/>
    </row>
    <row r="91" spans="1:8" x14ac:dyDescent="0.25">
      <c r="A91" s="82" t="s">
        <v>67</v>
      </c>
      <c r="B91" s="23" t="s">
        <v>99</v>
      </c>
      <c r="C91" s="23"/>
      <c r="D91" s="23"/>
      <c r="E91" s="23"/>
      <c r="F91" s="23"/>
      <c r="G91" s="23"/>
      <c r="H91" s="23"/>
    </row>
    <row r="92" spans="1:8" x14ac:dyDescent="0.25">
      <c r="A92" s="103" t="s">
        <v>332</v>
      </c>
      <c r="B92" s="32" t="s">
        <v>333</v>
      </c>
      <c r="C92" s="23"/>
      <c r="D92" s="23"/>
      <c r="E92" s="23"/>
      <c r="F92" s="23"/>
      <c r="G92" s="23"/>
      <c r="H92" s="23"/>
    </row>
    <row r="93" spans="1:8" x14ac:dyDescent="0.25">
      <c r="A93" s="103" t="s">
        <v>323</v>
      </c>
      <c r="B93" s="35" t="s">
        <v>318</v>
      </c>
    </row>
    <row r="94" spans="1:8" x14ac:dyDescent="0.25">
      <c r="A94" s="103" t="s">
        <v>324</v>
      </c>
      <c r="B94" s="35" t="s">
        <v>325</v>
      </c>
    </row>
    <row r="95" spans="1:8" x14ac:dyDescent="0.25">
      <c r="A95" s="103" t="s">
        <v>326</v>
      </c>
      <c r="B95" s="35" t="s">
        <v>327</v>
      </c>
    </row>
    <row r="96" spans="1:8" x14ac:dyDescent="0.25">
      <c r="A96" s="103" t="s">
        <v>328</v>
      </c>
      <c r="B96" s="35" t="s">
        <v>329</v>
      </c>
    </row>
    <row r="97" spans="1:8" s="246" customFormat="1" x14ac:dyDescent="0.25">
      <c r="A97" s="103" t="s">
        <v>330</v>
      </c>
      <c r="B97" s="35" t="s">
        <v>331</v>
      </c>
    </row>
    <row r="98" spans="1:8" x14ac:dyDescent="0.25">
      <c r="A98" s="283" t="s">
        <v>125</v>
      </c>
      <c r="B98" s="35"/>
    </row>
    <row r="99" spans="1:8" x14ac:dyDescent="0.25">
      <c r="A99" s="23"/>
      <c r="B99" s="23"/>
      <c r="C99" s="23"/>
      <c r="D99" s="23"/>
      <c r="E99" s="23"/>
      <c r="F99" s="23"/>
      <c r="G99" s="23"/>
      <c r="H99" s="23"/>
    </row>
    <row r="100" spans="1:8" x14ac:dyDescent="0.25">
      <c r="A100" s="82" t="s">
        <v>55</v>
      </c>
      <c r="B100" s="23" t="s">
        <v>101</v>
      </c>
      <c r="C100" s="23"/>
      <c r="D100" s="23"/>
      <c r="E100" s="23"/>
      <c r="F100" s="23"/>
      <c r="G100" s="23"/>
      <c r="H100" s="23"/>
    </row>
    <row r="101" spans="1:8" x14ac:dyDescent="0.25">
      <c r="A101" s="229" t="s">
        <v>139</v>
      </c>
      <c r="B101" s="32" t="s">
        <v>67</v>
      </c>
      <c r="C101" s="23"/>
      <c r="D101" s="23"/>
      <c r="E101" s="23"/>
      <c r="F101" s="23"/>
      <c r="G101" s="23"/>
      <c r="H101" s="23"/>
    </row>
    <row r="102" spans="1:8" x14ac:dyDescent="0.25">
      <c r="A102" s="229" t="s">
        <v>322</v>
      </c>
      <c r="B102" s="34" t="s">
        <v>267</v>
      </c>
    </row>
    <row r="103" spans="1:8" x14ac:dyDescent="0.25">
      <c r="A103" s="229" t="s">
        <v>357</v>
      </c>
      <c r="B103" s="34" t="s">
        <v>358</v>
      </c>
    </row>
    <row r="104" spans="1:8" s="246" customFormat="1" x14ac:dyDescent="0.25">
      <c r="A104" s="229"/>
      <c r="B104" s="34" t="s">
        <v>359</v>
      </c>
    </row>
    <row r="105" spans="1:8" x14ac:dyDescent="0.25">
      <c r="A105" s="229"/>
      <c r="B105" s="34" t="s">
        <v>360</v>
      </c>
    </row>
    <row r="106" spans="1:8" x14ac:dyDescent="0.25">
      <c r="A106" s="230"/>
      <c r="B106" s="34" t="s">
        <v>361</v>
      </c>
    </row>
    <row r="108" spans="1:8" x14ac:dyDescent="0.25">
      <c r="A108" s="82" t="s">
        <v>36</v>
      </c>
      <c r="B108" s="23" t="s">
        <v>99</v>
      </c>
    </row>
    <row r="109" spans="1:8" x14ac:dyDescent="0.25">
      <c r="A109" s="230"/>
      <c r="B109" s="31"/>
    </row>
  </sheetData>
  <phoneticPr fontId="0" type="noConversion"/>
  <conditionalFormatting sqref="H12">
    <cfRule type="cellIs" dxfId="13" priority="1" stopIfTrue="1" operator="equal">
      <formula>"MORT"</formula>
    </cfRule>
    <cfRule type="cellIs" dxfId="12" priority="2" stopIfTrue="1" operator="equal">
      <formula>"ASSOME"</formula>
    </cfRule>
  </conditionalFormatting>
  <conditionalFormatting sqref="D75 D73">
    <cfRule type="cellIs" dxfId="11" priority="3" stopIfTrue="1" operator="equal">
      <formula>"Oui"</formula>
    </cfRule>
  </conditionalFormatting>
  <dataValidations count="4">
    <dataValidation type="list" allowBlank="1" showInputMessage="1" showErrorMessage="1" sqref="D75 D73">
      <formula1>"Oui, Non"</formula1>
    </dataValidation>
    <dataValidation type="list" allowBlank="1" showInputMessage="1" showErrorMessage="1" sqref="I34:I36">
      <formula1>"Oui,Non"</formula1>
    </dataValidation>
    <dataValidation type="list" allowBlank="1" showInputMessage="1" showErrorMessage="1" sqref="B10">
      <formula1>"I,Min,TP,P,M,G,TG,Gig,C"</formula1>
    </dataValidation>
    <dataValidation type="list" allowBlank="1" showInputMessage="1" showErrorMessage="1" sqref="G35:G36">
      <formula1>"Perforant,Tranchant,Contondant,Tranc./Perf,Perf./Cont,Tranc./Cont"</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05" r:id="rId4" name="ArmureMage">
              <controlPr defaultSize="0" autoFill="0" autoLine="0" autoPict="0">
                <anchor moveWithCells="1">
                  <from>
                    <xdr:col>2</xdr:col>
                    <xdr:colOff>19050</xdr:colOff>
                    <xdr:row>39</xdr:row>
                    <xdr:rowOff>0</xdr:rowOff>
                  </from>
                  <to>
                    <xdr:col>2</xdr:col>
                    <xdr:colOff>257175</xdr:colOff>
                    <xdr:row>40</xdr:row>
                    <xdr:rowOff>38100</xdr:rowOff>
                  </to>
                </anchor>
              </controlPr>
            </control>
          </mc:Choice>
        </mc:AlternateContent>
        <mc:AlternateContent xmlns:mc="http://schemas.openxmlformats.org/markup-compatibility/2006">
          <mc:Choice Requires="x14">
            <control shapeId="4106" r:id="rId5" name="Check Box 10">
              <controlPr defaultSize="0" autoFill="0" autoLine="0" autoPict="0">
                <anchor moveWithCells="1">
                  <from>
                    <xdr:col>4</xdr:col>
                    <xdr:colOff>19050</xdr:colOff>
                    <xdr:row>27</xdr:row>
                    <xdr:rowOff>180975</xdr:rowOff>
                  </from>
                  <to>
                    <xdr:col>4</xdr:col>
                    <xdr:colOff>257175</xdr:colOff>
                    <xdr:row>29</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T56"/>
  <sheetViews>
    <sheetView zoomScale="85" workbookViewId="0">
      <selection activeCell="S39" sqref="S39"/>
    </sheetView>
  </sheetViews>
  <sheetFormatPr baseColWidth="10" defaultRowHeight="15" x14ac:dyDescent="0.25"/>
  <cols>
    <col min="1" max="1" width="31.42578125" customWidth="1"/>
    <col min="2" max="2" width="9.42578125" bestFit="1" customWidth="1"/>
    <col min="3" max="3" width="12" customWidth="1"/>
    <col min="4" max="4" width="8.7109375" customWidth="1"/>
    <col min="5" max="5" width="13.85546875" bestFit="1" customWidth="1"/>
    <col min="6" max="6" width="5.7109375" bestFit="1" customWidth="1"/>
    <col min="7" max="7" width="7.5703125" bestFit="1" customWidth="1"/>
    <col min="8" max="8" width="5.7109375" bestFit="1" customWidth="1"/>
    <col min="9" max="10" width="6.28515625" bestFit="1" customWidth="1"/>
    <col min="11" max="11" width="8.42578125" customWidth="1"/>
    <col min="13" max="13" width="7.7109375" bestFit="1" customWidth="1"/>
    <col min="15" max="15" width="11.140625" bestFit="1" customWidth="1"/>
    <col min="16" max="16" width="14.28515625" customWidth="1"/>
  </cols>
  <sheetData>
    <row r="1" spans="1:17" x14ac:dyDescent="0.25">
      <c r="A1" s="81" t="s">
        <v>81</v>
      </c>
      <c r="B1" s="192" t="s">
        <v>23</v>
      </c>
      <c r="C1" s="186" t="s">
        <v>175</v>
      </c>
      <c r="D1" s="100" t="s">
        <v>45</v>
      </c>
      <c r="E1" s="81" t="s">
        <v>178</v>
      </c>
      <c r="F1" s="100" t="s">
        <v>45</v>
      </c>
      <c r="G1" s="81" t="s">
        <v>179</v>
      </c>
      <c r="H1" s="100" t="s">
        <v>45</v>
      </c>
      <c r="I1" s="100" t="s">
        <v>183</v>
      </c>
      <c r="J1" s="100" t="s">
        <v>184</v>
      </c>
      <c r="K1" s="100" t="s">
        <v>67</v>
      </c>
      <c r="L1" s="100" t="s">
        <v>171</v>
      </c>
      <c r="M1" s="101" t="s">
        <v>109</v>
      </c>
      <c r="N1" s="100" t="s">
        <v>108</v>
      </c>
      <c r="O1" s="101" t="s">
        <v>180</v>
      </c>
      <c r="P1" s="16" t="s">
        <v>182</v>
      </c>
      <c r="Q1" s="17"/>
    </row>
    <row r="2" spans="1:17" x14ac:dyDescent="0.25">
      <c r="A2" s="102" t="s">
        <v>143</v>
      </c>
      <c r="B2" s="118">
        <f>O2+IF(N2&lt;&gt;"-",N2,0)+L2+IF(FA,'Formes animales'!B15,Compétences!K2)+I2+IF(M2&lt;&gt;"-",M2,0)</f>
        <v>2</v>
      </c>
      <c r="C2" s="20" t="s">
        <v>160</v>
      </c>
      <c r="D2" s="221"/>
      <c r="E2" s="20" t="s">
        <v>160</v>
      </c>
      <c r="F2" s="221"/>
      <c r="G2" s="20" t="s">
        <v>160</v>
      </c>
      <c r="H2" s="221"/>
      <c r="I2" s="16">
        <f>DEX</f>
        <v>2</v>
      </c>
      <c r="J2" s="221"/>
      <c r="K2" s="168"/>
      <c r="L2" s="221"/>
      <c r="M2" s="16">
        <f>IF(O44&gt;=5,2,0)</f>
        <v>0</v>
      </c>
      <c r="N2" s="162">
        <f>MALUS_TESTS</f>
        <v>0</v>
      </c>
      <c r="O2" s="107">
        <f>D2+F2+H2+J2</f>
        <v>0</v>
      </c>
      <c r="P2" s="165" t="str">
        <f>IF(O2&gt;=5,"La défense totale passe à +6","Pas encore")</f>
        <v>Pas encore</v>
      </c>
    </row>
    <row r="3" spans="1:17" x14ac:dyDescent="0.25">
      <c r="A3" s="103" t="s">
        <v>46</v>
      </c>
      <c r="B3" s="118">
        <f>O3+IF(N3&lt;&gt;"-",N3,0)+L3+IF(FA,'Formes animales'!B16,Compétences!K3)+I3+IF(M3&lt;&gt;"-",M3,0)</f>
        <v>4</v>
      </c>
      <c r="C3" s="249" t="s">
        <v>246</v>
      </c>
      <c r="D3" s="221">
        <v>1</v>
      </c>
      <c r="E3" s="20" t="s">
        <v>160</v>
      </c>
      <c r="F3" s="221"/>
      <c r="G3" s="20" t="s">
        <v>160</v>
      </c>
      <c r="H3" s="221"/>
      <c r="I3" s="16">
        <f>INT</f>
        <v>3</v>
      </c>
      <c r="J3" s="221"/>
      <c r="K3" s="168"/>
      <c r="L3" s="221"/>
      <c r="M3" s="16">
        <f>IF(O12&gt;=5,2,0)</f>
        <v>0</v>
      </c>
      <c r="N3" s="163" t="s">
        <v>103</v>
      </c>
      <c r="O3" s="107">
        <f t="shared" ref="O3:O46" si="0">D3+F3+H3+J3</f>
        <v>1</v>
      </c>
      <c r="P3" s="34"/>
    </row>
    <row r="4" spans="1:17" x14ac:dyDescent="0.25">
      <c r="A4" s="103" t="s">
        <v>213</v>
      </c>
      <c r="B4" s="118">
        <f>O4+IF(N4&lt;&gt;"-",N4,0)+L4+IF(FA,'Formes animales'!B17,Compétences!K4)+I4+IF(M4&lt;&gt;"-",M4,0)</f>
        <v>16</v>
      </c>
      <c r="C4" s="249" t="s">
        <v>246</v>
      </c>
      <c r="D4" s="221">
        <v>8</v>
      </c>
      <c r="E4" s="249" t="s">
        <v>281</v>
      </c>
      <c r="F4" s="221">
        <v>5</v>
      </c>
      <c r="G4" s="249" t="s">
        <v>160</v>
      </c>
      <c r="H4" s="221"/>
      <c r="I4" s="16">
        <f>INT</f>
        <v>3</v>
      </c>
      <c r="J4" s="221"/>
      <c r="K4" s="168"/>
      <c r="L4" s="221"/>
      <c r="M4" s="138" t="s">
        <v>103</v>
      </c>
      <c r="N4" s="163" t="s">
        <v>103</v>
      </c>
      <c r="O4" s="107">
        <f t="shared" si="0"/>
        <v>13</v>
      </c>
      <c r="P4" s="34"/>
    </row>
    <row r="5" spans="1:17" x14ac:dyDescent="0.25">
      <c r="A5" s="103" t="s">
        <v>82</v>
      </c>
      <c r="B5" s="118">
        <f>O5+IF(N5&lt;&gt;"-",N5,0)+L5+IF(FA,'Formes animales'!B18,Compétences!K5)+I5+IF(M5&lt;&gt;"-",M5,0)</f>
        <v>-1</v>
      </c>
      <c r="C5" s="249" t="s">
        <v>160</v>
      </c>
      <c r="D5" s="221"/>
      <c r="E5" s="249" t="s">
        <v>160</v>
      </c>
      <c r="F5" s="221"/>
      <c r="G5" s="249" t="s">
        <v>160</v>
      </c>
      <c r="H5" s="221"/>
      <c r="I5" s="16">
        <f>CHA</f>
        <v>-1</v>
      </c>
      <c r="J5" s="221"/>
      <c r="K5" s="168"/>
      <c r="L5" s="221"/>
      <c r="M5" s="138" t="s">
        <v>103</v>
      </c>
      <c r="N5" s="163" t="s">
        <v>103</v>
      </c>
      <c r="O5" s="107">
        <f t="shared" si="0"/>
        <v>0</v>
      </c>
      <c r="P5" s="34"/>
    </row>
    <row r="6" spans="1:17" x14ac:dyDescent="0.25">
      <c r="A6" s="103" t="s">
        <v>47</v>
      </c>
      <c r="B6" s="118">
        <f>O6+IF(N6&lt;&gt;"-",N6,0)+L6+IF(FA,'Formes animales'!B19,Compétences!K6)+I6+IF(M6&lt;&gt;"-",M6,0)</f>
        <v>16</v>
      </c>
      <c r="C6" s="249" t="s">
        <v>246</v>
      </c>
      <c r="D6" s="221">
        <v>8</v>
      </c>
      <c r="E6" s="249" t="s">
        <v>281</v>
      </c>
      <c r="F6" s="221">
        <v>7</v>
      </c>
      <c r="G6" s="249" t="s">
        <v>160</v>
      </c>
      <c r="H6" s="221"/>
      <c r="I6" s="16">
        <f>CON</f>
        <v>1</v>
      </c>
      <c r="J6" s="221"/>
      <c r="K6" s="168"/>
      <c r="L6" s="221"/>
      <c r="M6" s="138" t="s">
        <v>103</v>
      </c>
      <c r="N6" s="163" t="s">
        <v>103</v>
      </c>
      <c r="O6" s="107">
        <f t="shared" si="0"/>
        <v>15</v>
      </c>
      <c r="P6" s="34"/>
    </row>
    <row r="7" spans="1:17" x14ac:dyDescent="0.25">
      <c r="A7" s="106" t="s">
        <v>144</v>
      </c>
      <c r="B7" s="118">
        <f>O7+IF(N7&lt;&gt;"-",N7,0)+L7+IF(FA,'Formes animales'!B20,Compétences!K7)+I7+IF(M7&lt;&gt;"-",M7,0)</f>
        <v>3</v>
      </c>
      <c r="C7" s="249" t="s">
        <v>160</v>
      </c>
      <c r="D7" s="221"/>
      <c r="E7" s="249" t="s">
        <v>160</v>
      </c>
      <c r="F7" s="221"/>
      <c r="G7" s="249" t="s">
        <v>160</v>
      </c>
      <c r="H7" s="221"/>
      <c r="I7" s="16">
        <f>INT</f>
        <v>3</v>
      </c>
      <c r="J7" s="221"/>
      <c r="K7" s="168"/>
      <c r="L7" s="221"/>
      <c r="M7" s="138" t="s">
        <v>103</v>
      </c>
      <c r="N7" s="163" t="s">
        <v>103</v>
      </c>
      <c r="O7" s="107">
        <f t="shared" si="0"/>
        <v>0</v>
      </c>
      <c r="P7" s="34"/>
    </row>
    <row r="8" spans="1:17" x14ac:dyDescent="0.25">
      <c r="A8" s="103" t="s">
        <v>145</v>
      </c>
      <c r="B8" s="118">
        <f>O8+IF(N8&lt;&gt;"-",N8,0)+L8+IF(FA,'Formes animales'!B21,Compétences!K8)+I8+IF(M8&lt;&gt;"-",M8,0)</f>
        <v>3</v>
      </c>
      <c r="C8" s="249" t="s">
        <v>160</v>
      </c>
      <c r="D8" s="221"/>
      <c r="E8" s="249" t="s">
        <v>160</v>
      </c>
      <c r="F8" s="221"/>
      <c r="G8" s="249" t="s">
        <v>160</v>
      </c>
      <c r="H8" s="221"/>
      <c r="I8" s="16">
        <f t="shared" ref="I8:I17" si="1">INT</f>
        <v>3</v>
      </c>
      <c r="J8" s="221"/>
      <c r="K8" s="168"/>
      <c r="L8" s="221"/>
      <c r="M8" s="138" t="s">
        <v>103</v>
      </c>
      <c r="N8" s="163" t="s">
        <v>103</v>
      </c>
      <c r="O8" s="107">
        <f t="shared" si="0"/>
        <v>0</v>
      </c>
      <c r="P8" s="34"/>
    </row>
    <row r="9" spans="1:17" x14ac:dyDescent="0.25">
      <c r="A9" s="103" t="s">
        <v>146</v>
      </c>
      <c r="B9" s="118">
        <f>O9+IF(N9&lt;&gt;"-",N9,0)+L9+IF(FA,'Formes animales'!B22,Compétences!K9)+I9+IF(M9&lt;&gt;"-",M9,0)</f>
        <v>3</v>
      </c>
      <c r="C9" s="249" t="s">
        <v>160</v>
      </c>
      <c r="D9" s="221"/>
      <c r="E9" s="249" t="s">
        <v>160</v>
      </c>
      <c r="F9" s="221"/>
      <c r="G9" s="249" t="s">
        <v>160</v>
      </c>
      <c r="H9" s="221"/>
      <c r="I9" s="16">
        <f t="shared" si="1"/>
        <v>3</v>
      </c>
      <c r="J9" s="221"/>
      <c r="K9" s="168"/>
      <c r="L9" s="221"/>
      <c r="M9" s="138" t="s">
        <v>103</v>
      </c>
      <c r="N9" s="163" t="s">
        <v>103</v>
      </c>
      <c r="O9" s="107">
        <f t="shared" si="0"/>
        <v>0</v>
      </c>
      <c r="P9" s="34"/>
    </row>
    <row r="10" spans="1:17" x14ac:dyDescent="0.25">
      <c r="A10" s="103" t="s">
        <v>147</v>
      </c>
      <c r="B10" s="118">
        <f>O10+IF(N10&lt;&gt;"-",N10,0)+L10+IF(FA,'Formes animales'!B23,Compétences!K10)+I10+IF(M10&lt;&gt;"-",M10,0)</f>
        <v>4</v>
      </c>
      <c r="C10" s="249" t="s">
        <v>160</v>
      </c>
      <c r="D10" s="221"/>
      <c r="E10" s="249" t="s">
        <v>281</v>
      </c>
      <c r="F10" s="221">
        <v>1</v>
      </c>
      <c r="G10" s="249" t="s">
        <v>160</v>
      </c>
      <c r="H10" s="221"/>
      <c r="I10" s="16">
        <f t="shared" si="1"/>
        <v>3</v>
      </c>
      <c r="J10" s="221"/>
      <c r="K10" s="168"/>
      <c r="L10" s="221"/>
      <c r="M10" s="138" t="s">
        <v>103</v>
      </c>
      <c r="N10" s="163" t="s">
        <v>103</v>
      </c>
      <c r="O10" s="107">
        <f>D10+F10+H10+J10</f>
        <v>1</v>
      </c>
      <c r="P10" s="34"/>
    </row>
    <row r="11" spans="1:17" x14ac:dyDescent="0.25">
      <c r="A11" s="103" t="s">
        <v>148</v>
      </c>
      <c r="B11" s="118">
        <f>O11+IF(N11&lt;&gt;"-",N11,0)+L11+IF(FA,'Formes animales'!B24,Compétences!K11)+I11+IF(M11&lt;&gt;"-",M11,0)</f>
        <v>3</v>
      </c>
      <c r="C11" s="249" t="s">
        <v>160</v>
      </c>
      <c r="D11" s="221"/>
      <c r="E11" s="249" t="s">
        <v>160</v>
      </c>
      <c r="F11" s="221"/>
      <c r="G11" s="249" t="s">
        <v>160</v>
      </c>
      <c r="H11" s="221"/>
      <c r="I11" s="16">
        <f t="shared" si="1"/>
        <v>3</v>
      </c>
      <c r="J11" s="221"/>
      <c r="K11" s="168"/>
      <c r="L11" s="221"/>
      <c r="M11" s="138" t="s">
        <v>103</v>
      </c>
      <c r="N11" s="163" t="s">
        <v>103</v>
      </c>
      <c r="O11" s="107">
        <f t="shared" si="0"/>
        <v>0</v>
      </c>
      <c r="P11" s="34"/>
    </row>
    <row r="12" spans="1:17" x14ac:dyDescent="0.25">
      <c r="A12" s="104" t="s">
        <v>142</v>
      </c>
      <c r="B12" s="118">
        <f>O12+IF(N12&lt;&gt;"-",N12,0)+L12+IF(FA,'Formes animales'!B25,Compétences!K12)+I12+IF(M12&lt;&gt;"-",M12,0)</f>
        <v>3</v>
      </c>
      <c r="C12" s="249" t="s">
        <v>160</v>
      </c>
      <c r="D12" s="221"/>
      <c r="E12" s="249" t="s">
        <v>160</v>
      </c>
      <c r="F12" s="221"/>
      <c r="G12" s="249" t="s">
        <v>160</v>
      </c>
      <c r="H12" s="221"/>
      <c r="I12" s="16">
        <f t="shared" si="1"/>
        <v>3</v>
      </c>
      <c r="J12" s="221"/>
      <c r="K12" s="168"/>
      <c r="L12" s="221"/>
      <c r="M12" s="138" t="s">
        <v>103</v>
      </c>
      <c r="N12" s="163" t="s">
        <v>103</v>
      </c>
      <c r="O12" s="107">
        <f t="shared" si="0"/>
        <v>0</v>
      </c>
      <c r="P12" s="34"/>
    </row>
    <row r="13" spans="1:17" x14ac:dyDescent="0.25">
      <c r="A13" s="104" t="s">
        <v>149</v>
      </c>
      <c r="B13" s="118">
        <f>O13+IF(N13&lt;&gt;"-",N13,0)+L13+IF(FA,'Formes animales'!B26,Compétences!K13)+I13+IF(M13&lt;&gt;"-",M13,0)</f>
        <v>18</v>
      </c>
      <c r="C13" s="249" t="s">
        <v>246</v>
      </c>
      <c r="D13" s="221">
        <v>8</v>
      </c>
      <c r="E13" s="249" t="s">
        <v>281</v>
      </c>
      <c r="F13" s="221">
        <v>3</v>
      </c>
      <c r="G13" s="249" t="s">
        <v>160</v>
      </c>
      <c r="H13" s="221"/>
      <c r="I13" s="16">
        <f t="shared" si="1"/>
        <v>3</v>
      </c>
      <c r="J13" s="221"/>
      <c r="K13" s="168"/>
      <c r="L13" s="221">
        <v>2</v>
      </c>
      <c r="M13" s="22">
        <f>IF(O45&gt;=5,2,0)</f>
        <v>2</v>
      </c>
      <c r="N13" s="163" t="s">
        <v>103</v>
      </c>
      <c r="O13" s="107">
        <f t="shared" si="0"/>
        <v>11</v>
      </c>
      <c r="P13" s="282" t="s">
        <v>268</v>
      </c>
    </row>
    <row r="14" spans="1:17" x14ac:dyDescent="0.25">
      <c r="A14" s="104" t="s">
        <v>150</v>
      </c>
      <c r="B14" s="118">
        <f>O14+IF(N14&lt;&gt;"-",N14,0)+L14+IF(FA,'Formes animales'!B27,Compétences!K14)+I14+IF(M14&lt;&gt;"-",M14,0)</f>
        <v>3</v>
      </c>
      <c r="C14" s="249" t="s">
        <v>160</v>
      </c>
      <c r="D14" s="221"/>
      <c r="E14" s="249" t="s">
        <v>160</v>
      </c>
      <c r="F14" s="221"/>
      <c r="G14" s="249" t="s">
        <v>160</v>
      </c>
      <c r="H14" s="221"/>
      <c r="I14" s="16">
        <f t="shared" si="1"/>
        <v>3</v>
      </c>
      <c r="J14" s="221"/>
      <c r="K14" s="168"/>
      <c r="L14" s="221"/>
      <c r="M14" s="138" t="s">
        <v>103</v>
      </c>
      <c r="N14" s="163" t="s">
        <v>103</v>
      </c>
      <c r="O14" s="107">
        <f t="shared" si="0"/>
        <v>0</v>
      </c>
      <c r="P14" s="34"/>
    </row>
    <row r="15" spans="1:17" x14ac:dyDescent="0.25">
      <c r="A15" s="104" t="s">
        <v>151</v>
      </c>
      <c r="B15" s="118">
        <f>O15+IF(N15&lt;&gt;"-",N15,0)+L15+IF(FA,'Formes animales'!B28,Compétences!K15)+I15+IF(M15&lt;&gt;"-",M15,0)</f>
        <v>11</v>
      </c>
      <c r="C15" s="249" t="s">
        <v>160</v>
      </c>
      <c r="D15" s="221"/>
      <c r="E15" s="249" t="s">
        <v>281</v>
      </c>
      <c r="F15" s="221">
        <v>8</v>
      </c>
      <c r="G15" s="249" t="s">
        <v>160</v>
      </c>
      <c r="H15" s="221"/>
      <c r="I15" s="16">
        <f t="shared" si="1"/>
        <v>3</v>
      </c>
      <c r="J15" s="221"/>
      <c r="K15" s="168"/>
      <c r="L15" s="221"/>
      <c r="M15" s="138" t="s">
        <v>103</v>
      </c>
      <c r="N15" s="163" t="s">
        <v>103</v>
      </c>
      <c r="O15" s="107">
        <f t="shared" si="0"/>
        <v>8</v>
      </c>
      <c r="P15" s="34"/>
    </row>
    <row r="16" spans="1:17" x14ac:dyDescent="0.25">
      <c r="A16" s="104" t="s">
        <v>152</v>
      </c>
      <c r="B16" s="118">
        <f>O16+IF(N16&lt;&gt;"-",N16,0)+L16+IF(FA,'Formes animales'!B29,Compétences!K16)+I16+IF(M16&lt;&gt;"-",M16,0)</f>
        <v>3</v>
      </c>
      <c r="C16" s="249" t="s">
        <v>160</v>
      </c>
      <c r="D16" s="221"/>
      <c r="E16" s="249" t="s">
        <v>160</v>
      </c>
      <c r="F16" s="221"/>
      <c r="G16" s="249" t="s">
        <v>160</v>
      </c>
      <c r="H16" s="221"/>
      <c r="I16" s="16">
        <f t="shared" si="1"/>
        <v>3</v>
      </c>
      <c r="J16" s="221"/>
      <c r="K16" s="168"/>
      <c r="L16" s="221"/>
      <c r="M16" s="138" t="s">
        <v>103</v>
      </c>
      <c r="N16" s="163" t="s">
        <v>103</v>
      </c>
      <c r="O16" s="107">
        <f t="shared" si="0"/>
        <v>0</v>
      </c>
      <c r="P16" s="34"/>
    </row>
    <row r="17" spans="1:18" x14ac:dyDescent="0.25">
      <c r="A17" s="104" t="s">
        <v>83</v>
      </c>
      <c r="B17" s="118">
        <f>O17+IF(N17&lt;&gt;"-",N17,0)+L17+IF(FA,'Formes animales'!B30,Compétences!K17)+I17+IF(M17&lt;&gt;"-",M17,0)</f>
        <v>3</v>
      </c>
      <c r="C17" s="249" t="s">
        <v>160</v>
      </c>
      <c r="D17" s="221"/>
      <c r="E17" s="249" t="s">
        <v>160</v>
      </c>
      <c r="F17" s="221"/>
      <c r="G17" s="249" t="s">
        <v>160</v>
      </c>
      <c r="H17" s="221"/>
      <c r="I17" s="16">
        <f t="shared" si="1"/>
        <v>3</v>
      </c>
      <c r="J17" s="221"/>
      <c r="K17" s="168"/>
      <c r="L17" s="221"/>
      <c r="M17" s="138" t="s">
        <v>103</v>
      </c>
      <c r="N17" s="163" t="s">
        <v>103</v>
      </c>
      <c r="O17" s="107">
        <f t="shared" si="0"/>
        <v>0</v>
      </c>
      <c r="P17" s="34"/>
    </row>
    <row r="18" spans="1:18" x14ac:dyDescent="0.25">
      <c r="A18" s="104" t="s">
        <v>84</v>
      </c>
      <c r="B18" s="118">
        <f>O18+IF(N18&lt;&gt;"-",N18,0)+L18+IF(FA,'Formes animales'!B31,Compétences!K18)+I18+IF(M18&lt;&gt;"-",M18,0)</f>
        <v>2</v>
      </c>
      <c r="C18" s="249" t="s">
        <v>160</v>
      </c>
      <c r="D18" s="221"/>
      <c r="E18" s="249" t="s">
        <v>160</v>
      </c>
      <c r="F18" s="221"/>
      <c r="G18" s="249" t="s">
        <v>160</v>
      </c>
      <c r="H18" s="221"/>
      <c r="I18" s="16">
        <f>DEX</f>
        <v>2</v>
      </c>
      <c r="J18" s="221"/>
      <c r="K18" s="168"/>
      <c r="L18" s="221"/>
      <c r="M18" s="138" t="s">
        <v>103</v>
      </c>
      <c r="N18" s="163" t="s">
        <v>103</v>
      </c>
      <c r="O18" s="107">
        <f t="shared" si="0"/>
        <v>0</v>
      </c>
      <c r="P18" s="34"/>
    </row>
    <row r="19" spans="1:18" x14ac:dyDescent="0.25">
      <c r="A19" s="104" t="s">
        <v>79</v>
      </c>
      <c r="B19" s="118">
        <f>O19+IF(N19&lt;&gt;"-",N19,0)+L19+IF(FA,'Formes animales'!B32,Compétences!K19)+I19+IF(M19&lt;&gt;"-",M19,0)</f>
        <v>3</v>
      </c>
      <c r="C19" s="249" t="s">
        <v>160</v>
      </c>
      <c r="D19" s="221"/>
      <c r="E19" s="249" t="s">
        <v>160</v>
      </c>
      <c r="F19" s="221"/>
      <c r="G19" s="249" t="s">
        <v>160</v>
      </c>
      <c r="H19" s="221"/>
      <c r="I19" s="16">
        <f>INT</f>
        <v>3</v>
      </c>
      <c r="J19" s="221"/>
      <c r="K19" s="168"/>
      <c r="L19" s="221"/>
      <c r="M19" s="138" t="s">
        <v>103</v>
      </c>
      <c r="N19" s="163" t="s">
        <v>103</v>
      </c>
      <c r="O19" s="107">
        <f t="shared" si="0"/>
        <v>0</v>
      </c>
      <c r="P19" s="34"/>
    </row>
    <row r="20" spans="1:18" x14ac:dyDescent="0.25">
      <c r="A20" s="104" t="s">
        <v>85</v>
      </c>
      <c r="B20" s="118">
        <f>O20+IF(N20&lt;&gt;"-",N20,0)+L20+IF(FA,'Formes animales'!B33,Compétences!K20)+I20+IF(M20&lt;&gt;"-",M20,0)</f>
        <v>-1</v>
      </c>
      <c r="C20" s="249" t="s">
        <v>160</v>
      </c>
      <c r="D20" s="221"/>
      <c r="E20" s="249" t="s">
        <v>160</v>
      </c>
      <c r="F20" s="221"/>
      <c r="G20" s="249" t="s">
        <v>160</v>
      </c>
      <c r="H20" s="221"/>
      <c r="I20" s="16">
        <f>CHA</f>
        <v>-1</v>
      </c>
      <c r="J20" s="221"/>
      <c r="K20" s="168"/>
      <c r="L20" s="221"/>
      <c r="M20" s="138" t="s">
        <v>103</v>
      </c>
      <c r="N20" s="163" t="s">
        <v>103</v>
      </c>
      <c r="O20" s="107">
        <f t="shared" si="0"/>
        <v>0</v>
      </c>
      <c r="P20" s="165" t="str">
        <f>IF(O5&gt;=5,"+2 si le personnage se sait observé "&amp;A4,"Pas encore")</f>
        <v>Pas encore</v>
      </c>
    </row>
    <row r="21" spans="1:18" x14ac:dyDescent="0.25">
      <c r="A21" s="104" t="s">
        <v>86</v>
      </c>
      <c r="B21" s="118">
        <f>O21+IF(N21&lt;&gt;"-",N21,0)+L21+IF(FA,'Formes animales'!B34,Compétences!K21)+I21+IF(M21&lt;&gt;"-",M21,0)</f>
        <v>2</v>
      </c>
      <c r="C21" s="249" t="s">
        <v>160</v>
      </c>
      <c r="D21" s="221"/>
      <c r="E21" s="249" t="s">
        <v>160</v>
      </c>
      <c r="F21" s="221"/>
      <c r="G21" s="249" t="s">
        <v>160</v>
      </c>
      <c r="H21" s="221"/>
      <c r="I21" s="6">
        <f>DEX</f>
        <v>2</v>
      </c>
      <c r="J21" s="221"/>
      <c r="K21" s="168"/>
      <c r="L21" s="221"/>
      <c r="M21" s="138" t="s">
        <v>103</v>
      </c>
      <c r="N21" s="162">
        <f>MALUS_TESTS</f>
        <v>0</v>
      </c>
      <c r="O21" s="107">
        <f t="shared" si="0"/>
        <v>0</v>
      </c>
      <c r="P21" s="34"/>
    </row>
    <row r="22" spans="1:18" x14ac:dyDescent="0.25">
      <c r="A22" s="104" t="s">
        <v>153</v>
      </c>
      <c r="B22" s="118">
        <f>O22+IF(N22&lt;&gt;"-",N22,0)+L22+IF(FA,'Formes animales'!B35,Compétences!K22)+I22+IF(M22&lt;&gt;"-",M22,0)</f>
        <v>3</v>
      </c>
      <c r="C22" s="249" t="s">
        <v>160</v>
      </c>
      <c r="D22" s="221"/>
      <c r="E22" s="249" t="s">
        <v>160</v>
      </c>
      <c r="F22" s="221"/>
      <c r="G22" s="20" t="s">
        <v>160</v>
      </c>
      <c r="H22" s="221"/>
      <c r="I22" s="6">
        <f>INT</f>
        <v>3</v>
      </c>
      <c r="J22" s="221"/>
      <c r="K22" s="168"/>
      <c r="L22" s="221"/>
      <c r="M22" s="138" t="s">
        <v>103</v>
      </c>
      <c r="N22" s="163" t="s">
        <v>103</v>
      </c>
      <c r="O22" s="107">
        <f t="shared" si="0"/>
        <v>0</v>
      </c>
      <c r="P22" s="34"/>
    </row>
    <row r="23" spans="1:18" x14ac:dyDescent="0.25">
      <c r="A23" s="104" t="s">
        <v>49</v>
      </c>
      <c r="B23" s="118">
        <f>O23+IF(N23&lt;&gt;"-",N23,0)+L23+IF(FA,'Formes animales'!B36,Compétences!K23)+I23+IF(M23&lt;&gt;"-",M23,0)</f>
        <v>24</v>
      </c>
      <c r="C23" s="249" t="s">
        <v>246</v>
      </c>
      <c r="D23" s="221">
        <v>16</v>
      </c>
      <c r="E23" s="249" t="s">
        <v>160</v>
      </c>
      <c r="F23" s="221"/>
      <c r="G23" s="249" t="s">
        <v>160</v>
      </c>
      <c r="H23" s="221"/>
      <c r="I23" s="6">
        <f>SAG</f>
        <v>6</v>
      </c>
      <c r="J23" s="221"/>
      <c r="K23" s="168">
        <v>2</v>
      </c>
      <c r="L23" s="221"/>
      <c r="M23" s="138" t="s">
        <v>103</v>
      </c>
      <c r="N23" s="163" t="s">
        <v>103</v>
      </c>
      <c r="O23" s="107">
        <f t="shared" si="0"/>
        <v>16</v>
      </c>
      <c r="P23" s="34"/>
    </row>
    <row r="24" spans="1:18" x14ac:dyDescent="0.25">
      <c r="A24" s="104" t="s">
        <v>87</v>
      </c>
      <c r="B24" s="118">
        <f>O24+IF(N24&lt;&gt;"-",N24,0)+L24+IF(FA,'Formes animales'!B37,Compétences!K24)+I24+IF(M24&lt;&gt;"-",M24,0)</f>
        <v>-1</v>
      </c>
      <c r="C24" s="249" t="s">
        <v>246</v>
      </c>
      <c r="D24" s="221"/>
      <c r="E24" s="249" t="s">
        <v>160</v>
      </c>
      <c r="F24" s="221"/>
      <c r="G24" s="249" t="s">
        <v>160</v>
      </c>
      <c r="H24" s="221"/>
      <c r="I24" s="6">
        <f>CHA</f>
        <v>-1</v>
      </c>
      <c r="J24" s="221"/>
      <c r="K24" s="168"/>
      <c r="L24" s="221"/>
      <c r="M24" s="22">
        <f>IF(O5&gt;=5,2,0)+IF(O14&gt;=5,2,0)+IF(O41&gt;=5,2,0)</f>
        <v>0</v>
      </c>
      <c r="N24" s="163" t="s">
        <v>103</v>
      </c>
      <c r="O24" s="107">
        <f t="shared" si="0"/>
        <v>0</v>
      </c>
      <c r="P24" s="34"/>
    </row>
    <row r="25" spans="1:18" x14ac:dyDescent="0.25">
      <c r="A25" s="104" t="s">
        <v>88</v>
      </c>
      <c r="B25" s="118">
        <f>O25+IF(N25&lt;&gt;"-",N25,0)+L25+IF(FA,'Formes animales'!B38,Compétences!K25)+I25+IF(M25&lt;&gt;"-",M25,0)+Q25</f>
        <v>2</v>
      </c>
      <c r="C25" s="249" t="s">
        <v>160</v>
      </c>
      <c r="D25" s="221"/>
      <c r="E25" s="249" t="s">
        <v>160</v>
      </c>
      <c r="F25" s="221"/>
      <c r="G25" s="249" t="s">
        <v>160</v>
      </c>
      <c r="H25" s="221"/>
      <c r="I25" s="6">
        <f>DEX</f>
        <v>2</v>
      </c>
      <c r="J25" s="221"/>
      <c r="K25" s="168"/>
      <c r="L25" s="221"/>
      <c r="M25" s="138" t="s">
        <v>103</v>
      </c>
      <c r="N25" s="168">
        <f>MALUS_TESTS</f>
        <v>0</v>
      </c>
      <c r="O25" s="107">
        <f t="shared" si="0"/>
        <v>0</v>
      </c>
      <c r="P25" s="182" t="s">
        <v>204</v>
      </c>
      <c r="Q25" s="116">
        <f>TAILLE*4</f>
        <v>0</v>
      </c>
    </row>
    <row r="26" spans="1:18" x14ac:dyDescent="0.25">
      <c r="A26" s="104" t="s">
        <v>154</v>
      </c>
      <c r="B26" s="118">
        <f>O26+IF(N26&lt;&gt;"-",N26,0)+L26+IF(FA,'Formes animales'!B39,Compétences!K26)+I26+IF(M26&lt;&gt;"-",M26,0)</f>
        <v>1</v>
      </c>
      <c r="C26" s="249" t="s">
        <v>246</v>
      </c>
      <c r="D26" s="221"/>
      <c r="E26" s="249" t="s">
        <v>160</v>
      </c>
      <c r="F26" s="221"/>
      <c r="G26" s="249" t="s">
        <v>160</v>
      </c>
      <c r="H26" s="221"/>
      <c r="I26" s="6">
        <f>CHA</f>
        <v>-1</v>
      </c>
      <c r="J26" s="221"/>
      <c r="K26" s="168">
        <v>2</v>
      </c>
      <c r="L26" s="221"/>
      <c r="M26" s="138" t="s">
        <v>103</v>
      </c>
      <c r="N26" s="163" t="s">
        <v>103</v>
      </c>
      <c r="O26" s="107">
        <f t="shared" si="0"/>
        <v>0</v>
      </c>
      <c r="Q26" s="282"/>
    </row>
    <row r="27" spans="1:18" x14ac:dyDescent="0.25">
      <c r="A27" s="104" t="s">
        <v>89</v>
      </c>
      <c r="B27" s="118">
        <f>O27+IF(N27&lt;&gt;"-",N27,0)+L27+IF(FA,'Formes animales'!B40,Compétences!K27)+I27+IF(M27&lt;&gt;"-",M27,0)</f>
        <v>2</v>
      </c>
      <c r="C27" s="249" t="s">
        <v>160</v>
      </c>
      <c r="D27" s="221"/>
      <c r="E27" s="249" t="s">
        <v>160</v>
      </c>
      <c r="F27" s="221"/>
      <c r="G27" s="249" t="s">
        <v>160</v>
      </c>
      <c r="H27" s="221"/>
      <c r="I27" s="6">
        <f>DEX</f>
        <v>2</v>
      </c>
      <c r="J27" s="221"/>
      <c r="K27" s="168"/>
      <c r="L27" s="221"/>
      <c r="M27" s="22">
        <f>IF(O2&gt;=5,2,0)</f>
        <v>0</v>
      </c>
      <c r="N27" s="168">
        <f>MALUS_TESTS</f>
        <v>0</v>
      </c>
      <c r="O27" s="107">
        <f t="shared" si="0"/>
        <v>0</v>
      </c>
      <c r="Q27" s="34"/>
      <c r="R27" s="1"/>
    </row>
    <row r="28" spans="1:18" x14ac:dyDescent="0.25">
      <c r="A28" s="104" t="s">
        <v>104</v>
      </c>
      <c r="B28" s="118">
        <f>O28+IF(N28&lt;&gt;"-",N28,0)+L28+IF(FA,'Formes animales'!B41,Compétences!K28)+I28+IF(M28&lt;&gt;"-",M28,0)</f>
        <v>4</v>
      </c>
      <c r="C28" s="249" t="s">
        <v>246</v>
      </c>
      <c r="D28" s="221"/>
      <c r="E28" s="249" t="s">
        <v>160</v>
      </c>
      <c r="F28" s="221"/>
      <c r="G28" s="249" t="s">
        <v>160</v>
      </c>
      <c r="H28" s="221"/>
      <c r="I28" s="6">
        <f>DEX</f>
        <v>2</v>
      </c>
      <c r="J28" s="221"/>
      <c r="K28" s="168">
        <v>2</v>
      </c>
      <c r="L28" s="221"/>
      <c r="M28" s="22">
        <f>IF(O26&gt;=5,2,0)</f>
        <v>0</v>
      </c>
      <c r="N28" s="163" t="s">
        <v>103</v>
      </c>
      <c r="O28" s="107">
        <f t="shared" si="0"/>
        <v>0</v>
      </c>
      <c r="Q28" s="282"/>
    </row>
    <row r="29" spans="1:18" x14ac:dyDescent="0.25">
      <c r="A29" s="104" t="s">
        <v>90</v>
      </c>
      <c r="B29" s="118">
        <f>O29+IF(N29&lt;&gt;"-",N29,0)+L29+IF(FA,'Formes animales'!B42,Compétences!K29)+I29+IF(M29&lt;&gt;"-",M29,0)</f>
        <v>1</v>
      </c>
      <c r="C29" s="249" t="s">
        <v>160</v>
      </c>
      <c r="D29" s="221"/>
      <c r="E29" s="249" t="s">
        <v>160</v>
      </c>
      <c r="F29" s="221"/>
      <c r="G29" s="249" t="s">
        <v>160</v>
      </c>
      <c r="H29" s="221"/>
      <c r="I29" s="6">
        <f>FOR</f>
        <v>1</v>
      </c>
      <c r="J29" s="221"/>
      <c r="K29" s="168"/>
      <c r="L29" s="221"/>
      <c r="M29" s="138" t="s">
        <v>103</v>
      </c>
      <c r="N29" s="168">
        <f>MALUS_TESTS</f>
        <v>0</v>
      </c>
      <c r="O29" s="107">
        <f t="shared" si="0"/>
        <v>0</v>
      </c>
      <c r="P29" s="165" t="str">
        <f>IF(O36&gt;=5,"+2 pour monter aux cordes","Pas encore")</f>
        <v>Pas encore</v>
      </c>
    </row>
    <row r="30" spans="1:18" x14ac:dyDescent="0.25">
      <c r="A30" s="104" t="s">
        <v>91</v>
      </c>
      <c r="B30" s="118">
        <f>O30+IF(N30&lt;&gt;"-",N30,0)+L30+IF(FA,'Formes animales'!B43,Compétences!K30)+I30+IF(M30&lt;&gt;"-",M30,0)</f>
        <v>2</v>
      </c>
      <c r="C30" s="249" t="s">
        <v>160</v>
      </c>
      <c r="D30" s="221"/>
      <c r="E30" s="249" t="s">
        <v>160</v>
      </c>
      <c r="F30" s="221"/>
      <c r="G30" s="249" t="s">
        <v>160</v>
      </c>
      <c r="H30" s="221"/>
      <c r="I30" s="6">
        <f>DEX</f>
        <v>2</v>
      </c>
      <c r="J30" s="221"/>
      <c r="K30" s="168"/>
      <c r="L30" s="221"/>
      <c r="M30" s="22">
        <f>IF(O5&gt;=5,2,0)</f>
        <v>0</v>
      </c>
      <c r="N30" s="168">
        <f>MALUS_TESTS</f>
        <v>0</v>
      </c>
      <c r="O30" s="107">
        <f t="shared" si="0"/>
        <v>0</v>
      </c>
      <c r="P30" s="34"/>
    </row>
    <row r="31" spans="1:18" x14ac:dyDescent="0.25">
      <c r="A31" s="104" t="s">
        <v>92</v>
      </c>
      <c r="B31" s="118">
        <f>O31+IF(N31&lt;&gt;"-",N31,0)+L31+IF(FA,'Formes animales'!B44,Compétences!K31)+I31+IF(M31&lt;&gt;"-",M31,0)</f>
        <v>3</v>
      </c>
      <c r="C31" s="249" t="s">
        <v>160</v>
      </c>
      <c r="D31" s="221"/>
      <c r="E31" s="249" t="s">
        <v>160</v>
      </c>
      <c r="F31" s="221"/>
      <c r="G31" s="249" t="s">
        <v>160</v>
      </c>
      <c r="H31" s="221"/>
      <c r="I31" s="6">
        <f>INT</f>
        <v>3</v>
      </c>
      <c r="J31" s="221"/>
      <c r="K31" s="168"/>
      <c r="L31" s="221"/>
      <c r="M31" s="138" t="s">
        <v>103</v>
      </c>
      <c r="N31" s="163" t="s">
        <v>103</v>
      </c>
      <c r="O31" s="107">
        <f t="shared" si="0"/>
        <v>0</v>
      </c>
      <c r="P31" s="165" t="str">
        <f>IF(O4&gt;=5,"+2 pour estimer les objets liés à "&amp;A4,"Pas encore")</f>
        <v>+2 pour estimer les objets liés à Artisanat (...)</v>
      </c>
    </row>
    <row r="32" spans="1:18" x14ac:dyDescent="0.25">
      <c r="A32" s="191" t="s">
        <v>93</v>
      </c>
      <c r="B32" s="118">
        <f>O32+IF(N32&lt;&gt;"-",N32,0)+L32+IF(FA,'Formes animales'!B45,Compétences!K32)+I32+IF(M32&lt;&gt;"-",M32,0)</f>
        <v>2</v>
      </c>
      <c r="C32" s="249" t="s">
        <v>160</v>
      </c>
      <c r="D32" s="221"/>
      <c r="E32" s="249" t="s">
        <v>160</v>
      </c>
      <c r="F32" s="221"/>
      <c r="G32" s="249" t="s">
        <v>160</v>
      </c>
      <c r="H32" s="221"/>
      <c r="I32" s="6">
        <f>DEX</f>
        <v>2</v>
      </c>
      <c r="J32" s="221"/>
      <c r="K32" s="168"/>
      <c r="L32" s="221"/>
      <c r="M32" s="138" t="s">
        <v>103</v>
      </c>
      <c r="N32" s="168">
        <f>MALUS_TESTS</f>
        <v>0</v>
      </c>
      <c r="O32" s="107">
        <f t="shared" si="0"/>
        <v>0</v>
      </c>
      <c r="P32" s="165" t="str">
        <f>IF(O36&gt;=5,"+2 pour s'échapper de cordes","Pas encore")</f>
        <v>Pas encore</v>
      </c>
    </row>
    <row r="33" spans="1:20" x14ac:dyDescent="0.25">
      <c r="A33" s="191" t="s">
        <v>80</v>
      </c>
      <c r="B33" s="118">
        <f>O33+IF(N33&lt;&gt;"-",N33,0)+L33+IF(FA,'Formes animales'!B46,Compétences!K33)+I33+IF(M33&lt;&gt;"-",M33,0)</f>
        <v>18</v>
      </c>
      <c r="C33" s="249" t="s">
        <v>160</v>
      </c>
      <c r="D33" s="221"/>
      <c r="E33" s="249" t="s">
        <v>281</v>
      </c>
      <c r="F33" s="221">
        <v>15</v>
      </c>
      <c r="G33" s="249" t="s">
        <v>160</v>
      </c>
      <c r="H33" s="221"/>
      <c r="I33" s="6">
        <f>INT</f>
        <v>3</v>
      </c>
      <c r="J33" s="221"/>
      <c r="K33" s="168"/>
      <c r="L33" s="221"/>
      <c r="M33" s="138" t="s">
        <v>103</v>
      </c>
      <c r="N33" s="163" t="s">
        <v>103</v>
      </c>
      <c r="O33" s="107">
        <f t="shared" si="0"/>
        <v>15</v>
      </c>
      <c r="P33" s="34"/>
    </row>
    <row r="34" spans="1:20" x14ac:dyDescent="0.25">
      <c r="A34" s="191" t="s">
        <v>94</v>
      </c>
      <c r="B34" s="118">
        <f>O34+IF(N34&lt;&gt;"-",N34,0)+L34+IF(FA,'Formes animales'!B47,Compétences!K34)+I34+IF(M34&lt;&gt;"-",M34,0)</f>
        <v>-1</v>
      </c>
      <c r="C34" s="249" t="s">
        <v>160</v>
      </c>
      <c r="D34" s="221"/>
      <c r="E34" s="249" t="s">
        <v>160</v>
      </c>
      <c r="F34" s="221"/>
      <c r="G34" s="249" t="s">
        <v>160</v>
      </c>
      <c r="H34" s="221"/>
      <c r="I34" s="6">
        <f>CHA</f>
        <v>-1</v>
      </c>
      <c r="J34" s="221"/>
      <c r="K34" s="168"/>
      <c r="L34" s="221"/>
      <c r="M34" s="22">
        <f>IF(O5&gt;=5,2,0)</f>
        <v>0</v>
      </c>
      <c r="N34" s="163" t="s">
        <v>103</v>
      </c>
      <c r="O34" s="107">
        <f t="shared" si="0"/>
        <v>0</v>
      </c>
      <c r="P34" s="34"/>
    </row>
    <row r="35" spans="1:20" x14ac:dyDescent="0.25">
      <c r="A35" s="191" t="s">
        <v>155</v>
      </c>
      <c r="B35" s="118">
        <f>O35+IF(N35&lt;&gt;"-",N35,0)+L35+IF(FA,'Formes animales'!B48,Compétences!K35)+I35+IF(M35&lt;&gt;"-",M35,0)</f>
        <v>0</v>
      </c>
      <c r="C35" s="249" t="s">
        <v>160</v>
      </c>
      <c r="D35" s="221"/>
      <c r="E35" s="249" t="s">
        <v>160</v>
      </c>
      <c r="F35" s="221"/>
      <c r="G35" s="249" t="s">
        <v>160</v>
      </c>
      <c r="H35" s="221"/>
      <c r="I35" s="6">
        <v>0</v>
      </c>
      <c r="J35" s="221"/>
      <c r="K35" s="168"/>
      <c r="L35" s="221"/>
      <c r="M35" s="138" t="s">
        <v>103</v>
      </c>
      <c r="N35" s="163" t="s">
        <v>103</v>
      </c>
      <c r="O35" s="107">
        <f t="shared" si="0"/>
        <v>0</v>
      </c>
      <c r="P35" s="34"/>
    </row>
    <row r="36" spans="1:20" x14ac:dyDescent="0.25">
      <c r="A36" s="191" t="s">
        <v>95</v>
      </c>
      <c r="B36" s="118">
        <f>O36+IF(N36&lt;&gt;"-",N36,0)+L36+IF(FA,'Formes animales'!B49,Compétences!K36)+I36+IF(M36&lt;&gt;"-",M36,0)</f>
        <v>2</v>
      </c>
      <c r="C36" s="249" t="s">
        <v>160</v>
      </c>
      <c r="D36" s="221"/>
      <c r="E36" s="249" t="s">
        <v>160</v>
      </c>
      <c r="F36" s="221"/>
      <c r="G36" s="249" t="s">
        <v>160</v>
      </c>
      <c r="H36" s="221"/>
      <c r="I36" s="6">
        <f>DEX</f>
        <v>2</v>
      </c>
      <c r="J36" s="221"/>
      <c r="K36" s="168"/>
      <c r="L36" s="221"/>
      <c r="M36" s="138" t="s">
        <v>103</v>
      </c>
      <c r="N36" s="163" t="s">
        <v>103</v>
      </c>
      <c r="O36" s="107">
        <f t="shared" si="0"/>
        <v>0</v>
      </c>
      <c r="P36" s="165" t="str">
        <f>IF(O32&gt;=5,"+2 pour ligoter qqun","Pas encore")</f>
        <v>Pas encore</v>
      </c>
    </row>
    <row r="37" spans="1:20" x14ac:dyDescent="0.25">
      <c r="A37" s="191" t="s">
        <v>96</v>
      </c>
      <c r="B37" s="118">
        <f>O37+IF(N37&lt;&gt;"-",N37,0)+L37+IF(FA,'Formes animales'!B50,Compétences!K37)+I37+IF(M37&lt;&gt;"-",M37,0)</f>
        <v>1</v>
      </c>
      <c r="C37" s="249" t="s">
        <v>246</v>
      </c>
      <c r="D37" s="221"/>
      <c r="E37" s="249" t="s">
        <v>160</v>
      </c>
      <c r="F37" s="221"/>
      <c r="G37" s="249" t="s">
        <v>160</v>
      </c>
      <c r="H37" s="221"/>
      <c r="I37" s="6">
        <f>FOR</f>
        <v>1</v>
      </c>
      <c r="J37" s="221"/>
      <c r="K37" s="168"/>
      <c r="L37" s="221"/>
      <c r="M37" s="138" t="s">
        <v>103</v>
      </c>
      <c r="N37" s="168">
        <f>MALUS_TESTS*2</f>
        <v>0</v>
      </c>
      <c r="O37" s="107">
        <f t="shared" si="0"/>
        <v>0</v>
      </c>
      <c r="P37" s="34"/>
    </row>
    <row r="38" spans="1:20" x14ac:dyDescent="0.25">
      <c r="A38" s="191" t="s">
        <v>48</v>
      </c>
      <c r="B38" s="118">
        <f>O38+IF(N38&lt;&gt;"-",N38,0)+L38+IF(FA,'Formes animales'!B51,Compétences!K38)+I38+IF(M38&lt;&gt;"-",M38,0)</f>
        <v>19</v>
      </c>
      <c r="C38" s="249" t="s">
        <v>246</v>
      </c>
      <c r="D38" s="221">
        <v>8</v>
      </c>
      <c r="E38" s="249" t="s">
        <v>281</v>
      </c>
      <c r="F38" s="221">
        <v>5</v>
      </c>
      <c r="G38" s="249" t="s">
        <v>160</v>
      </c>
      <c r="H38" s="221"/>
      <c r="I38" s="6">
        <f>SAG</f>
        <v>6</v>
      </c>
      <c r="J38" s="221"/>
      <c r="K38" s="168"/>
      <c r="L38" s="221"/>
      <c r="M38" s="138" t="s">
        <v>103</v>
      </c>
      <c r="N38" s="163" t="s">
        <v>103</v>
      </c>
      <c r="O38" s="107">
        <f t="shared" si="0"/>
        <v>13</v>
      </c>
      <c r="P38" s="34"/>
    </row>
    <row r="39" spans="1:20" x14ac:dyDescent="0.25">
      <c r="A39" s="191" t="s">
        <v>209</v>
      </c>
      <c r="B39" s="118">
        <f>O39+IF(N39&lt;&gt;"-",N39,0)+L39+IF(FA,'Formes animales'!B52,Compétences!K39)+I39+IF(M39&lt;&gt;"-",M39,0)</f>
        <v>12</v>
      </c>
      <c r="C39" s="249" t="s">
        <v>246</v>
      </c>
      <c r="D39" s="221">
        <v>6</v>
      </c>
      <c r="E39" s="249" t="s">
        <v>160</v>
      </c>
      <c r="F39" s="221"/>
      <c r="G39" s="249" t="s">
        <v>160</v>
      </c>
      <c r="H39" s="221"/>
      <c r="I39" s="6">
        <f>SAG</f>
        <v>6</v>
      </c>
      <c r="J39" s="221"/>
      <c r="K39" s="168"/>
      <c r="L39" s="221"/>
      <c r="M39" s="138" t="s">
        <v>103</v>
      </c>
      <c r="N39" s="163" t="s">
        <v>103</v>
      </c>
      <c r="O39" s="107">
        <f>D39+F39+H39+J39</f>
        <v>6</v>
      </c>
      <c r="P39" s="34"/>
    </row>
    <row r="40" spans="1:20" x14ac:dyDescent="0.25">
      <c r="A40" s="191" t="s">
        <v>174</v>
      </c>
      <c r="B40" s="118">
        <f>O40+IF(N40&lt;&gt;"-",N40,0)+L40+IF(FA,'Formes animales'!B53,Compétences!K40)+I40+IF(M40&lt;&gt;"-",M40,0)</f>
        <v>6</v>
      </c>
      <c r="C40" s="249" t="s">
        <v>246</v>
      </c>
      <c r="D40" s="221"/>
      <c r="E40" s="249" t="s">
        <v>281</v>
      </c>
      <c r="F40" s="221"/>
      <c r="G40" s="249" t="s">
        <v>160</v>
      </c>
      <c r="H40" s="221"/>
      <c r="I40" s="6">
        <f>SAG</f>
        <v>6</v>
      </c>
      <c r="J40" s="221"/>
      <c r="K40" s="168"/>
      <c r="L40" s="221"/>
      <c r="M40" s="138" t="s">
        <v>103</v>
      </c>
      <c r="N40" s="163" t="s">
        <v>103</v>
      </c>
      <c r="O40" s="107">
        <f t="shared" si="0"/>
        <v>0</v>
      </c>
      <c r="P40" s="34"/>
    </row>
    <row r="41" spans="1:20" x14ac:dyDescent="0.25">
      <c r="A41" s="191" t="s">
        <v>97</v>
      </c>
      <c r="B41" s="118">
        <f>O41+IF(N41&lt;&gt;"-",N41,0)+L41+IF(FA,'Formes animales'!B54,Compétences!K41)+I41+IF(M41&lt;&gt;"-",M41,0)</f>
        <v>6</v>
      </c>
      <c r="C41" s="249" t="s">
        <v>160</v>
      </c>
      <c r="D41" s="221"/>
      <c r="E41" s="249" t="s">
        <v>160</v>
      </c>
      <c r="F41" s="221"/>
      <c r="G41" s="249" t="s">
        <v>160</v>
      </c>
      <c r="H41" s="221"/>
      <c r="I41" s="6">
        <f>SAG</f>
        <v>6</v>
      </c>
      <c r="J41" s="221"/>
      <c r="K41" s="168"/>
      <c r="L41" s="221"/>
      <c r="M41" s="138" t="s">
        <v>103</v>
      </c>
      <c r="N41" s="163" t="s">
        <v>103</v>
      </c>
      <c r="O41" s="107">
        <f t="shared" si="0"/>
        <v>0</v>
      </c>
      <c r="P41" s="34"/>
    </row>
    <row r="42" spans="1:20" x14ac:dyDescent="0.25">
      <c r="A42" s="104" t="s">
        <v>156</v>
      </c>
      <c r="B42" s="118">
        <f>O42+IF(N42&lt;&gt;"-",N42,0)+L42+IF(FA,'Formes animales'!B55,Compétences!K42)+I42+IF(M42&lt;&gt;"-",M42,0)</f>
        <v>-1</v>
      </c>
      <c r="C42" s="249" t="s">
        <v>160</v>
      </c>
      <c r="D42" s="221"/>
      <c r="E42" s="249" t="s">
        <v>160</v>
      </c>
      <c r="F42" s="221"/>
      <c r="G42" s="249" t="s">
        <v>160</v>
      </c>
      <c r="H42" s="221"/>
      <c r="I42" s="6">
        <f>CHA</f>
        <v>-1</v>
      </c>
      <c r="J42" s="221"/>
      <c r="K42" s="168"/>
      <c r="L42" s="221"/>
      <c r="M42" s="22">
        <f>IF(O9&gt;=5,2,0)</f>
        <v>0</v>
      </c>
      <c r="N42" s="163" t="s">
        <v>103</v>
      </c>
      <c r="O42" s="107">
        <f t="shared" si="0"/>
        <v>0</v>
      </c>
      <c r="P42" s="34"/>
    </row>
    <row r="43" spans="1:20" x14ac:dyDescent="0.25">
      <c r="A43" s="104" t="s">
        <v>162</v>
      </c>
      <c r="B43" s="118">
        <f>O43+IF(N43&lt;&gt;"-",N43,0)+L43+IF(FA,'Formes animales'!B56,Compétences!K43)+I43+IF(M43&lt;&gt;"-",M43,0)</f>
        <v>-1</v>
      </c>
      <c r="C43" s="249" t="s">
        <v>160</v>
      </c>
      <c r="D43" s="221"/>
      <c r="E43" s="249" t="s">
        <v>160</v>
      </c>
      <c r="F43" s="221"/>
      <c r="G43" s="249" t="s">
        <v>160</v>
      </c>
      <c r="H43" s="221"/>
      <c r="I43" s="6">
        <f>CHA</f>
        <v>-1</v>
      </c>
      <c r="J43" s="221"/>
      <c r="K43" s="168"/>
      <c r="L43" s="221"/>
      <c r="M43" s="138" t="s">
        <v>103</v>
      </c>
      <c r="N43" s="163" t="s">
        <v>103</v>
      </c>
      <c r="O43" s="107">
        <f t="shared" si="0"/>
        <v>0</v>
      </c>
      <c r="P43" s="34"/>
    </row>
    <row r="44" spans="1:20" x14ac:dyDescent="0.25">
      <c r="A44" s="104" t="s">
        <v>98</v>
      </c>
      <c r="B44" s="118">
        <f>O44+IF(N44&lt;&gt;"-",N44,0)+L44+IF(FA,'Formes animales'!B57,Compétences!K44)+I44+IF(M44&lt;&gt;"-",M44,0)+R44</f>
        <v>5</v>
      </c>
      <c r="C44" s="249" t="s">
        <v>160</v>
      </c>
      <c r="D44" s="221"/>
      <c r="E44" s="249" t="s">
        <v>160</v>
      </c>
      <c r="F44" s="221"/>
      <c r="G44" s="249" t="s">
        <v>160</v>
      </c>
      <c r="H44" s="221"/>
      <c r="I44" s="6">
        <f>FOR</f>
        <v>1</v>
      </c>
      <c r="J44" s="221"/>
      <c r="K44" s="168"/>
      <c r="L44" s="221"/>
      <c r="M44" s="22">
        <f>IF(O2&gt;=5,2,0)</f>
        <v>0</v>
      </c>
      <c r="N44" s="168">
        <f>MALUS_TESTS</f>
        <v>0</v>
      </c>
      <c r="O44" s="107">
        <f t="shared" si="0"/>
        <v>0</v>
      </c>
      <c r="P44" s="166" t="s">
        <v>187</v>
      </c>
      <c r="Q44" s="36"/>
      <c r="R44" s="116">
        <f>IF(VITESSE&gt;9,4*(VITESSE-9)/3,IF(VITESSE&lt;9,-6*(9-VITESSE)/3,0))</f>
        <v>4</v>
      </c>
      <c r="T44" t="s">
        <v>268</v>
      </c>
    </row>
    <row r="45" spans="1:20" x14ac:dyDescent="0.25">
      <c r="A45" s="104" t="s">
        <v>157</v>
      </c>
      <c r="B45" s="118">
        <f>O45+IF(N45&lt;&gt;"-",N45,0)+L45+IF(FA,'Formes animales'!B58,Compétences!K45)+I45+IF(M45&lt;&gt;"-",M45,0)</f>
        <v>21</v>
      </c>
      <c r="C45" s="20" t="s">
        <v>246</v>
      </c>
      <c r="D45" s="221">
        <v>8</v>
      </c>
      <c r="E45" s="249" t="s">
        <v>281</v>
      </c>
      <c r="F45" s="221">
        <v>5</v>
      </c>
      <c r="G45" s="249" t="s">
        <v>160</v>
      </c>
      <c r="H45" s="221"/>
      <c r="I45" s="6">
        <f>SAG</f>
        <v>6</v>
      </c>
      <c r="J45" s="221"/>
      <c r="K45" s="168"/>
      <c r="L45" s="221">
        <v>2</v>
      </c>
      <c r="M45" s="138" t="s">
        <v>103</v>
      </c>
      <c r="N45" s="163" t="s">
        <v>103</v>
      </c>
      <c r="O45" s="107">
        <f t="shared" si="0"/>
        <v>13</v>
      </c>
      <c r="P45" s="34" t="str">
        <f>IF(O33&gt;=5,"+2 pour suivre une piste ; ","")&amp;IF(O8&gt;=5,"+2 sous terre ; ","")&amp;IF(O15&gt;=5,"+2 dans un autre plan ; ","")&amp;IF(O13&gt;=5,"+2 dans la nature (en surface) ; ","")&amp;IF(O13&gt;=5,"+2 pour éviter de se perdre et éviter les dangers","Pas encore")</f>
        <v>+2 pour suivre une piste ; +2 dans un autre plan ; +2 dans la nature (en surface) ; +2 pour éviter de se perdre et éviter les dangers</v>
      </c>
    </row>
    <row r="46" spans="1:20" ht="15.75" thickBot="1" x14ac:dyDescent="0.3">
      <c r="A46" s="105" t="s">
        <v>158</v>
      </c>
      <c r="B46" s="119">
        <f>O46+IF(N46&lt;&gt;"-",N46,0)+L46+IF(FA,'Formes animales'!B59,Compétences!K46)+I46+IF(M46&lt;&gt;"-",M46,0)</f>
        <v>-1</v>
      </c>
      <c r="C46" s="45" t="s">
        <v>160</v>
      </c>
      <c r="D46" s="219"/>
      <c r="E46" s="45" t="s">
        <v>160</v>
      </c>
      <c r="F46" s="219"/>
      <c r="G46" s="45" t="s">
        <v>160</v>
      </c>
      <c r="H46" s="219"/>
      <c r="I46" s="60">
        <f>CHA</f>
        <v>-1</v>
      </c>
      <c r="J46" s="219"/>
      <c r="K46" s="175"/>
      <c r="L46" s="219"/>
      <c r="M46" s="139" t="s">
        <v>103</v>
      </c>
      <c r="N46" s="164" t="s">
        <v>103</v>
      </c>
      <c r="O46" s="73">
        <f t="shared" si="0"/>
        <v>0</v>
      </c>
      <c r="P46" s="167" t="str">
        <f>IF(OR(O3&gt;=5,O19&gt;=5),"+2 pour utiliser les parchemins","Pas encore")</f>
        <v>Pas encore</v>
      </c>
    </row>
    <row r="47" spans="1:20" ht="15.75" thickBot="1" x14ac:dyDescent="0.3">
      <c r="K47" s="250"/>
    </row>
    <row r="48" spans="1:20" x14ac:dyDescent="0.25">
      <c r="A48" s="111" t="s">
        <v>10</v>
      </c>
      <c r="B48" s="109" t="s">
        <v>137</v>
      </c>
      <c r="C48" s="109" t="s">
        <v>138</v>
      </c>
      <c r="D48" s="134" t="s">
        <v>181</v>
      </c>
      <c r="E48" s="20"/>
      <c r="F48" s="16"/>
      <c r="G48" s="20"/>
      <c r="H48" s="16"/>
      <c r="I48" s="16"/>
      <c r="J48" s="16"/>
      <c r="K48" s="168"/>
      <c r="L48" s="20"/>
      <c r="M48" s="20"/>
      <c r="N48" s="20"/>
      <c r="O48" s="20"/>
    </row>
    <row r="49" spans="1:17" x14ac:dyDescent="0.25">
      <c r="A49" s="91" t="str">
        <f>CLASSE1</f>
        <v>Druide</v>
      </c>
      <c r="B49" s="101">
        <f>SUMIF($C$2:$C$46,A49,$D$2:$D$46)+SUMIF($E$2:$E$46,A49,$F$2:$F$46)+SUMIF($G$2:$G$46,A49,$H$2:$H$46)</f>
        <v>63</v>
      </c>
      <c r="C49" s="133">
        <f>IF(NIV_CLASSE1&lt;&gt;0,(NIV_CLASSE1+3)*(4+INT-INT_ALT/2),0)</f>
        <v>63</v>
      </c>
      <c r="D49" s="135">
        <f>NIV_CLASSE1+NIV_CLASSE2+NIV_CLASSE3+3</f>
        <v>16</v>
      </c>
      <c r="E49" s="20"/>
      <c r="F49" s="16"/>
      <c r="G49" s="20"/>
      <c r="H49" s="16"/>
      <c r="I49" s="16"/>
      <c r="J49" s="16"/>
      <c r="K49" s="16"/>
      <c r="L49" s="20"/>
      <c r="M49" s="20"/>
      <c r="N49" s="20"/>
      <c r="O49" s="20"/>
      <c r="Q49" s="146"/>
    </row>
    <row r="50" spans="1:17" x14ac:dyDescent="0.25">
      <c r="A50" s="128" t="str">
        <f>CLASSE2</f>
        <v>S. des Marées</v>
      </c>
      <c r="B50" s="101">
        <f>SUMIF($C$2:$C$46,A50,$D$2:$D$46)+SUMIF($E$2:$E$46,A50,$F$2:$F$46)+SUMIF($G$2:$G$46,A50,$H$2:$H$46)</f>
        <v>49</v>
      </c>
      <c r="C50" s="133">
        <f>IF(NIV_CLASSE2&lt;&gt;0,(NIV_CLASSE2)*(4+INT-INT_ALT/2),0)</f>
        <v>49</v>
      </c>
      <c r="D50" s="135">
        <f>NIV_CLASSE1+NIV_CLASSE2+NIV_CLASSE3+3</f>
        <v>16</v>
      </c>
      <c r="E50" s="20"/>
      <c r="F50" s="16"/>
      <c r="G50" s="20"/>
      <c r="H50" s="16"/>
      <c r="I50" s="16"/>
      <c r="J50" s="16"/>
      <c r="K50" s="16"/>
      <c r="L50" s="20"/>
      <c r="M50" s="20"/>
      <c r="N50" s="20"/>
      <c r="O50" s="20"/>
    </row>
    <row r="51" spans="1:17" x14ac:dyDescent="0.25">
      <c r="A51" s="128">
        <f>CLASSE3</f>
        <v>0</v>
      </c>
      <c r="B51" s="101">
        <f>SUMIF($C$2:$C$46,A51,$D$2:$D$46)+SUMIF($E$2:$E$46,A51,$F$2:$F$46)+SUMIF($G$2:$G$46,A51,$H$2:$H$46)</f>
        <v>0</v>
      </c>
      <c r="C51" s="133">
        <f>IF(NIV_CLASSE3&lt;&gt;0,(NIV_CLASSE3)*(2+INT-INT_ALT/2),0)</f>
        <v>0</v>
      </c>
      <c r="D51" s="135">
        <f>NIV_CLASSE1+NIV_CLASSE2+NIV_CLASSE3+3</f>
        <v>16</v>
      </c>
      <c r="E51" s="20"/>
      <c r="F51" s="16"/>
      <c r="G51" s="20"/>
      <c r="H51" s="16"/>
      <c r="I51" s="16"/>
      <c r="J51" s="16"/>
      <c r="K51" s="16"/>
      <c r="L51" s="20"/>
      <c r="M51" s="20"/>
      <c r="N51" s="20"/>
      <c r="O51" s="20"/>
    </row>
    <row r="52" spans="1:17" ht="15.75" thickBot="1" x14ac:dyDescent="0.3">
      <c r="A52" s="108" t="s">
        <v>160</v>
      </c>
      <c r="B52" s="110">
        <f>(SUMIF($C$2:$C$46,A52,$D$2:$D$46)+SUMIF($E$2:$E$46,A52,$F$2:$F$46)+SUMIF($G$2:$G$46,A52,$H$2:$H$46))*2</f>
        <v>0</v>
      </c>
      <c r="C52" s="136">
        <f>SUM(C49:C51)-SUM(B49:B51)</f>
        <v>0</v>
      </c>
      <c r="D52" s="137">
        <f>(NIV_CLASSE1+NIV_CLASSE2+NIV_CLASSE3)*0.5+1</f>
        <v>7.5</v>
      </c>
      <c r="F52" s="16"/>
      <c r="G52" s="20"/>
      <c r="H52" s="16"/>
      <c r="I52" s="16"/>
      <c r="J52" s="16"/>
      <c r="K52" s="16"/>
      <c r="L52" s="20"/>
      <c r="M52" s="20"/>
      <c r="N52" s="20"/>
      <c r="O52" s="20"/>
    </row>
    <row r="53" spans="1:17" x14ac:dyDescent="0.25">
      <c r="B53" s="187" t="s">
        <v>161</v>
      </c>
      <c r="C53" s="188" t="str">
        <f>IF(B52=C52,"Oui","Non")</f>
        <v>Oui</v>
      </c>
      <c r="D53" s="22"/>
      <c r="F53" s="16"/>
      <c r="G53" s="20"/>
      <c r="H53" s="16"/>
      <c r="I53" s="16"/>
      <c r="J53" s="16"/>
      <c r="K53" s="16"/>
      <c r="L53" s="16"/>
      <c r="M53" s="20"/>
      <c r="N53" s="20"/>
      <c r="O53" s="20"/>
    </row>
    <row r="54" spans="1:17" ht="15.75" thickBot="1" x14ac:dyDescent="0.3">
      <c r="B54" s="189" t="s">
        <v>210</v>
      </c>
      <c r="C54" s="137">
        <f>SUM(C49:C51)-SUM(B49:B52)</f>
        <v>0</v>
      </c>
      <c r="F54" s="20"/>
      <c r="G54" s="20"/>
      <c r="H54" s="20"/>
      <c r="I54" s="20"/>
      <c r="J54" s="20"/>
      <c r="K54" s="20"/>
      <c r="L54" s="20"/>
      <c r="M54" s="20"/>
      <c r="N54" s="20"/>
      <c r="O54" s="20"/>
    </row>
    <row r="55" spans="1:17" x14ac:dyDescent="0.25">
      <c r="F55" s="20"/>
      <c r="G55" s="20"/>
      <c r="H55" s="20"/>
      <c r="I55" s="20"/>
      <c r="J55" s="20"/>
      <c r="K55" s="20"/>
      <c r="L55" s="20"/>
      <c r="M55" s="20"/>
      <c r="N55" s="20"/>
      <c r="O55" s="20"/>
    </row>
    <row r="56" spans="1:17" x14ac:dyDescent="0.25">
      <c r="F56" s="20"/>
      <c r="G56" s="20"/>
      <c r="H56" s="20"/>
      <c r="I56" s="20"/>
      <c r="J56" s="20"/>
      <c r="K56" s="20"/>
      <c r="L56" s="20"/>
      <c r="M56" s="20"/>
      <c r="N56" s="20"/>
      <c r="O56" s="20"/>
    </row>
  </sheetData>
  <phoneticPr fontId="0" type="noConversion"/>
  <conditionalFormatting sqref="I53 C53">
    <cfRule type="cellIs" dxfId="10" priority="1" stopIfTrue="1" operator="equal">
      <formula>"Non"</formula>
    </cfRule>
    <cfRule type="cellIs" dxfId="9" priority="2" stopIfTrue="1" operator="equal">
      <formula>"Oui"</formula>
    </cfRule>
  </conditionalFormatting>
  <dataValidations count="1">
    <dataValidation type="list" allowBlank="1" showInputMessage="1" showErrorMessage="1" sqref="E2:E46 G2:G46 C2:C46">
      <formula1>$A$49:$A$52</formula1>
    </dataValidation>
  </dataValidations>
  <pageMargins left="0.78740157499999996" right="0.78740157499999996" top="0.984251969" bottom="0.984251969" header="0.4921259845" footer="0.4921259845"/>
  <pageSetup paperSize="9" orientation="portrait" horizontalDpi="4294967293" verticalDpi="4294967293"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K101"/>
  <sheetViews>
    <sheetView topLeftCell="A55" workbookViewId="0">
      <selection activeCell="G78" sqref="G78"/>
    </sheetView>
  </sheetViews>
  <sheetFormatPr baseColWidth="10" defaultColWidth="9.140625" defaultRowHeight="15" x14ac:dyDescent="0.25"/>
  <cols>
    <col min="1" max="1" width="50.28515625" style="1" customWidth="1"/>
    <col min="2" max="2" width="8.85546875" style="5" bestFit="1" customWidth="1"/>
    <col min="3" max="3" width="9.5703125" style="5" bestFit="1" customWidth="1"/>
    <col min="4" max="4" width="15.140625" style="5" bestFit="1" customWidth="1"/>
    <col min="5" max="5" width="23.85546875" style="5" bestFit="1" customWidth="1"/>
    <col min="6" max="6" width="14.28515625" style="5" bestFit="1" customWidth="1"/>
    <col min="7" max="7" width="17.140625" style="1" bestFit="1" customWidth="1"/>
    <col min="8" max="8" width="13.28515625" style="1" bestFit="1" customWidth="1"/>
    <col min="9" max="16384" width="9.140625" style="1"/>
  </cols>
  <sheetData>
    <row r="1" spans="1:11" x14ac:dyDescent="0.25">
      <c r="A1" s="40" t="s">
        <v>107</v>
      </c>
      <c r="B1" s="83" t="s">
        <v>1</v>
      </c>
      <c r="C1" s="43" t="s">
        <v>2</v>
      </c>
      <c r="D1" s="44" t="s">
        <v>3</v>
      </c>
      <c r="E1" s="43" t="s">
        <v>4</v>
      </c>
      <c r="F1" s="140" t="s">
        <v>5</v>
      </c>
      <c r="G1" s="141" t="s">
        <v>102</v>
      </c>
      <c r="H1" s="142">
        <f>IF(TAILLE&gt;0,1/(2*TAILLE),IF(TAILLE&lt;0,-2*TAILLE,1))</f>
        <v>1</v>
      </c>
      <c r="I1" s="36" t="s">
        <v>140</v>
      </c>
      <c r="J1" s="143"/>
      <c r="K1" s="160">
        <f>IF(TAILLE&gt;0,3/(3+TAILLE),IF(TAILLE&lt;0,(4-TAILLE)/3,1))</f>
        <v>1</v>
      </c>
    </row>
    <row r="2" spans="1:11" x14ac:dyDescent="0.25">
      <c r="A2" s="235"/>
      <c r="B2" s="232"/>
      <c r="C2" s="233"/>
      <c r="D2" s="234"/>
      <c r="E2" s="3">
        <f t="shared" ref="E2:E22" si="0">B2*C2</f>
        <v>0</v>
      </c>
      <c r="F2" s="4">
        <f t="shared" ref="F2:F15" si="1">B2*D2</f>
        <v>0</v>
      </c>
      <c r="G2" t="s">
        <v>190</v>
      </c>
    </row>
    <row r="3" spans="1:11" x14ac:dyDescent="0.25">
      <c r="A3" s="231"/>
      <c r="B3" s="232"/>
      <c r="C3" s="233"/>
      <c r="D3" s="234"/>
      <c r="E3" s="3">
        <f t="shared" si="0"/>
        <v>0</v>
      </c>
      <c r="F3" s="4">
        <f t="shared" si="1"/>
        <v>0</v>
      </c>
      <c r="G3" t="s">
        <v>191</v>
      </c>
    </row>
    <row r="4" spans="1:11" x14ac:dyDescent="0.25">
      <c r="A4" s="235" t="s">
        <v>340</v>
      </c>
      <c r="B4" s="232">
        <v>1</v>
      </c>
      <c r="C4" s="233">
        <v>16000</v>
      </c>
      <c r="D4" s="234">
        <v>0.05</v>
      </c>
      <c r="E4" s="3">
        <f t="shared" si="0"/>
        <v>16000</v>
      </c>
      <c r="F4" s="4">
        <f t="shared" si="1"/>
        <v>0.05</v>
      </c>
      <c r="G4" t="s">
        <v>192</v>
      </c>
      <c r="H4" s="34"/>
    </row>
    <row r="5" spans="1:11" x14ac:dyDescent="0.25">
      <c r="A5" s="235"/>
      <c r="B5" s="232"/>
      <c r="C5" s="233"/>
      <c r="D5" s="234"/>
      <c r="E5" s="3">
        <f t="shared" si="0"/>
        <v>0</v>
      </c>
      <c r="F5" s="4">
        <f t="shared" si="1"/>
        <v>0</v>
      </c>
      <c r="G5" t="s">
        <v>193</v>
      </c>
      <c r="H5" s="217"/>
    </row>
    <row r="6" spans="1:11" x14ac:dyDescent="0.25">
      <c r="A6" s="231"/>
      <c r="B6" s="232"/>
      <c r="C6" s="233"/>
      <c r="D6" s="234"/>
      <c r="E6" s="3">
        <f t="shared" si="0"/>
        <v>0</v>
      </c>
      <c r="F6" s="4">
        <f t="shared" si="1"/>
        <v>0</v>
      </c>
      <c r="G6" t="s">
        <v>194</v>
      </c>
      <c r="H6" s="217"/>
    </row>
    <row r="7" spans="1:11" x14ac:dyDescent="0.25">
      <c r="A7" s="231"/>
      <c r="B7" s="232"/>
      <c r="C7" s="233"/>
      <c r="D7" s="234"/>
      <c r="E7" s="3">
        <f t="shared" si="0"/>
        <v>0</v>
      </c>
      <c r="F7" s="4">
        <f t="shared" si="1"/>
        <v>0</v>
      </c>
      <c r="G7" t="s">
        <v>195</v>
      </c>
      <c r="H7" s="217"/>
    </row>
    <row r="8" spans="1:11" x14ac:dyDescent="0.25">
      <c r="A8" s="231"/>
      <c r="B8" s="232"/>
      <c r="C8" s="233"/>
      <c r="D8" s="234"/>
      <c r="E8" s="3">
        <f t="shared" si="0"/>
        <v>0</v>
      </c>
      <c r="F8" s="4">
        <f t="shared" si="1"/>
        <v>0</v>
      </c>
      <c r="G8" t="s">
        <v>196</v>
      </c>
      <c r="H8" s="217"/>
    </row>
    <row r="9" spans="1:11" x14ac:dyDescent="0.25">
      <c r="A9" s="231"/>
      <c r="B9" s="232"/>
      <c r="C9" s="233"/>
      <c r="D9" s="234"/>
      <c r="E9" s="3">
        <f t="shared" si="0"/>
        <v>0</v>
      </c>
      <c r="F9" s="4">
        <f t="shared" si="1"/>
        <v>0</v>
      </c>
      <c r="G9" t="s">
        <v>197</v>
      </c>
      <c r="H9" s="217"/>
    </row>
    <row r="10" spans="1:11" x14ac:dyDescent="0.25">
      <c r="A10" s="231" t="s">
        <v>341</v>
      </c>
      <c r="B10" s="232">
        <v>1</v>
      </c>
      <c r="C10" s="233">
        <f>3200+1000</f>
        <v>4200</v>
      </c>
      <c r="D10" s="234">
        <v>7</v>
      </c>
      <c r="E10" s="3">
        <f t="shared" si="0"/>
        <v>4200</v>
      </c>
      <c r="F10" s="4">
        <f t="shared" si="1"/>
        <v>7</v>
      </c>
      <c r="G10" t="s">
        <v>198</v>
      </c>
      <c r="H10" s="217" t="s">
        <v>342</v>
      </c>
    </row>
    <row r="11" spans="1:11" x14ac:dyDescent="0.25">
      <c r="A11" s="231"/>
      <c r="B11" s="232"/>
      <c r="C11" s="233"/>
      <c r="D11" s="234"/>
      <c r="E11" s="3">
        <f t="shared" si="0"/>
        <v>0</v>
      </c>
      <c r="F11" s="4">
        <f t="shared" si="1"/>
        <v>0</v>
      </c>
      <c r="G11" t="s">
        <v>199</v>
      </c>
      <c r="H11" s="217"/>
    </row>
    <row r="12" spans="1:11" x14ac:dyDescent="0.25">
      <c r="A12" s="231"/>
      <c r="B12" s="232"/>
      <c r="C12" s="233"/>
      <c r="D12" s="234"/>
      <c r="E12" s="3">
        <f t="shared" si="0"/>
        <v>0</v>
      </c>
      <c r="F12" s="4">
        <f t="shared" si="1"/>
        <v>0</v>
      </c>
      <c r="G12" t="s">
        <v>15</v>
      </c>
      <c r="H12" s="217"/>
    </row>
    <row r="13" spans="1:11" x14ac:dyDescent="0.25">
      <c r="A13" s="235"/>
      <c r="B13" s="232"/>
      <c r="C13" s="233"/>
      <c r="D13" s="234"/>
      <c r="E13" s="95">
        <f t="shared" si="0"/>
        <v>0</v>
      </c>
      <c r="F13" s="39">
        <f t="shared" si="1"/>
        <v>0</v>
      </c>
      <c r="G13" s="161" t="s">
        <v>200</v>
      </c>
      <c r="H13" s="217"/>
    </row>
    <row r="14" spans="1:11" x14ac:dyDescent="0.25">
      <c r="A14" s="235" t="s">
        <v>426</v>
      </c>
      <c r="B14" s="232">
        <v>1</v>
      </c>
      <c r="C14" s="233">
        <v>8000</v>
      </c>
      <c r="D14" s="234">
        <v>0</v>
      </c>
      <c r="E14" s="95">
        <f>B14*C14</f>
        <v>8000</v>
      </c>
      <c r="F14" s="39">
        <f t="shared" si="1"/>
        <v>0</v>
      </c>
      <c r="G14" s="2" t="s">
        <v>106</v>
      </c>
      <c r="H14" s="34"/>
    </row>
    <row r="15" spans="1:11" x14ac:dyDescent="0.25">
      <c r="A15" s="235" t="s">
        <v>427</v>
      </c>
      <c r="B15" s="232">
        <v>1</v>
      </c>
      <c r="C15" s="233">
        <v>8000</v>
      </c>
      <c r="D15" s="234">
        <v>0</v>
      </c>
      <c r="E15" s="95">
        <f>B15*C15</f>
        <v>8000</v>
      </c>
      <c r="F15" s="39">
        <f t="shared" si="1"/>
        <v>0</v>
      </c>
      <c r="G15" s="2" t="s">
        <v>106</v>
      </c>
      <c r="H15" s="34"/>
    </row>
    <row r="16" spans="1:11" x14ac:dyDescent="0.25">
      <c r="A16" s="37" t="s">
        <v>201</v>
      </c>
      <c r="B16" s="96"/>
      <c r="C16" s="97"/>
      <c r="D16" s="98"/>
      <c r="E16" s="41"/>
      <c r="F16" s="42"/>
      <c r="G16" s="37"/>
      <c r="H16" s="217"/>
    </row>
    <row r="17" spans="1:8" x14ac:dyDescent="0.25">
      <c r="A17" s="235" t="s">
        <v>336</v>
      </c>
      <c r="B17" s="232">
        <v>1</v>
      </c>
      <c r="C17" s="233">
        <f>2315</f>
        <v>2315</v>
      </c>
      <c r="D17" s="234">
        <v>2</v>
      </c>
      <c r="E17" s="3">
        <f t="shared" si="0"/>
        <v>2315</v>
      </c>
      <c r="F17" s="4">
        <f t="shared" ref="F17:F23" si="2">B17*D17*$H$1</f>
        <v>2</v>
      </c>
      <c r="G17" s="35"/>
      <c r="H17" s="217"/>
    </row>
    <row r="18" spans="1:8" x14ac:dyDescent="0.25">
      <c r="A18" s="235" t="s">
        <v>338</v>
      </c>
      <c r="B18" s="232">
        <v>1</v>
      </c>
      <c r="C18" s="233">
        <v>2375</v>
      </c>
      <c r="D18" s="234">
        <v>1</v>
      </c>
      <c r="E18" s="3">
        <f t="shared" si="0"/>
        <v>2375</v>
      </c>
      <c r="F18" s="4">
        <f t="shared" si="2"/>
        <v>1</v>
      </c>
      <c r="H18" s="217"/>
    </row>
    <row r="19" spans="1:8" x14ac:dyDescent="0.25">
      <c r="A19" s="235" t="s">
        <v>339</v>
      </c>
      <c r="B19" s="232">
        <v>20</v>
      </c>
      <c r="C19" s="233">
        <f>1/20</f>
        <v>0.05</v>
      </c>
      <c r="D19" s="234">
        <f>1.5/20</f>
        <v>7.4999999999999997E-2</v>
      </c>
      <c r="E19" s="3">
        <f t="shared" si="0"/>
        <v>1</v>
      </c>
      <c r="F19" s="4">
        <f t="shared" si="2"/>
        <v>1.5</v>
      </c>
      <c r="H19" s="217"/>
    </row>
    <row r="20" spans="1:8" x14ac:dyDescent="0.25">
      <c r="A20" s="235" t="s">
        <v>343</v>
      </c>
      <c r="B20" s="232">
        <v>1</v>
      </c>
      <c r="C20" s="233">
        <v>1257</v>
      </c>
      <c r="D20" s="234">
        <v>5</v>
      </c>
      <c r="E20" s="3">
        <f t="shared" si="0"/>
        <v>1257</v>
      </c>
      <c r="F20" s="4">
        <f t="shared" si="2"/>
        <v>5</v>
      </c>
      <c r="H20" s="269" t="s">
        <v>351</v>
      </c>
    </row>
    <row r="21" spans="1:8" x14ac:dyDescent="0.25">
      <c r="A21" s="235" t="s">
        <v>353</v>
      </c>
      <c r="B21" s="232">
        <v>1</v>
      </c>
      <c r="C21" s="233">
        <v>9000</v>
      </c>
      <c r="D21" s="234">
        <v>1</v>
      </c>
      <c r="E21" s="3">
        <f t="shared" si="0"/>
        <v>9000</v>
      </c>
      <c r="F21" s="4">
        <f t="shared" si="2"/>
        <v>1</v>
      </c>
      <c r="H21" s="284" t="s">
        <v>354</v>
      </c>
    </row>
    <row r="22" spans="1:8" x14ac:dyDescent="0.25">
      <c r="A22" s="235"/>
      <c r="B22" s="232"/>
      <c r="C22" s="233"/>
      <c r="D22" s="234"/>
      <c r="E22" s="3">
        <f t="shared" si="0"/>
        <v>0</v>
      </c>
      <c r="F22" s="4">
        <f t="shared" si="2"/>
        <v>0</v>
      </c>
      <c r="H22" s="217"/>
    </row>
    <row r="23" spans="1:8" x14ac:dyDescent="0.25">
      <c r="A23" s="231"/>
      <c r="B23" s="232"/>
      <c r="C23" s="233"/>
      <c r="D23" s="234"/>
      <c r="E23" s="3">
        <f>B23*C23</f>
        <v>0</v>
      </c>
      <c r="F23" s="4">
        <f t="shared" si="2"/>
        <v>0</v>
      </c>
      <c r="H23" s="217"/>
    </row>
    <row r="24" spans="1:8" x14ac:dyDescent="0.25">
      <c r="A24" s="231"/>
      <c r="B24" s="232"/>
      <c r="C24" s="233"/>
      <c r="D24" s="234"/>
      <c r="E24" s="3">
        <f t="shared" ref="E24:E33" si="3">B24*C24</f>
        <v>0</v>
      </c>
      <c r="F24" s="4">
        <f t="shared" ref="F24:F34" si="4">B24*D24*$H$1</f>
        <v>0</v>
      </c>
    </row>
    <row r="25" spans="1:8" x14ac:dyDescent="0.25">
      <c r="A25" s="231"/>
      <c r="B25" s="232"/>
      <c r="C25" s="233"/>
      <c r="D25" s="234"/>
      <c r="E25" s="3">
        <f t="shared" si="3"/>
        <v>0</v>
      </c>
      <c r="F25" s="4">
        <f t="shared" si="4"/>
        <v>0</v>
      </c>
    </row>
    <row r="26" spans="1:8" x14ac:dyDescent="0.25">
      <c r="A26" s="231"/>
      <c r="B26" s="232"/>
      <c r="C26" s="233"/>
      <c r="D26" s="234"/>
      <c r="E26" s="3">
        <f t="shared" si="3"/>
        <v>0</v>
      </c>
      <c r="F26" s="4">
        <f t="shared" si="4"/>
        <v>0</v>
      </c>
    </row>
    <row r="27" spans="1:8" x14ac:dyDescent="0.25">
      <c r="A27" s="231"/>
      <c r="B27" s="232"/>
      <c r="C27" s="232"/>
      <c r="D27" s="232"/>
      <c r="E27" s="3">
        <f t="shared" si="3"/>
        <v>0</v>
      </c>
      <c r="F27" s="4">
        <f t="shared" si="4"/>
        <v>0</v>
      </c>
    </row>
    <row r="28" spans="1:8" x14ac:dyDescent="0.25">
      <c r="A28" s="235"/>
      <c r="B28" s="232"/>
      <c r="C28" s="233"/>
      <c r="D28" s="234"/>
      <c r="E28" s="3">
        <f t="shared" si="3"/>
        <v>0</v>
      </c>
      <c r="F28" s="4">
        <f t="shared" si="4"/>
        <v>0</v>
      </c>
    </row>
    <row r="29" spans="1:8" x14ac:dyDescent="0.25">
      <c r="A29" s="235"/>
      <c r="B29" s="232"/>
      <c r="C29" s="233"/>
      <c r="D29" s="234"/>
      <c r="E29" s="3">
        <f t="shared" si="3"/>
        <v>0</v>
      </c>
      <c r="F29" s="4">
        <f t="shared" si="4"/>
        <v>0</v>
      </c>
    </row>
    <row r="30" spans="1:8" x14ac:dyDescent="0.25">
      <c r="A30" s="235"/>
      <c r="B30" s="232"/>
      <c r="C30" s="233"/>
      <c r="D30" s="234"/>
      <c r="E30" s="3">
        <f t="shared" si="3"/>
        <v>0</v>
      </c>
      <c r="F30" s="4">
        <f t="shared" si="4"/>
        <v>0</v>
      </c>
    </row>
    <row r="31" spans="1:8" x14ac:dyDescent="0.25">
      <c r="A31" s="235"/>
      <c r="B31" s="232"/>
      <c r="C31" s="233"/>
      <c r="D31" s="234"/>
      <c r="E31" s="3">
        <f t="shared" si="3"/>
        <v>0</v>
      </c>
      <c r="F31" s="4">
        <f t="shared" si="4"/>
        <v>0</v>
      </c>
    </row>
    <row r="32" spans="1:8" x14ac:dyDescent="0.25">
      <c r="A32" s="235"/>
      <c r="B32" s="232"/>
      <c r="C32" s="233"/>
      <c r="D32" s="234"/>
      <c r="E32" s="3">
        <f t="shared" si="3"/>
        <v>0</v>
      </c>
      <c r="F32" s="4">
        <f t="shared" si="4"/>
        <v>0</v>
      </c>
    </row>
    <row r="33" spans="1:9" x14ac:dyDescent="0.25">
      <c r="A33" s="235"/>
      <c r="B33" s="232"/>
      <c r="C33" s="233"/>
      <c r="D33" s="234"/>
      <c r="E33" s="3">
        <f t="shared" si="3"/>
        <v>0</v>
      </c>
      <c r="F33" s="4">
        <f t="shared" si="4"/>
        <v>0</v>
      </c>
    </row>
    <row r="34" spans="1:9" x14ac:dyDescent="0.25">
      <c r="A34" s="235"/>
      <c r="B34" s="232"/>
      <c r="C34" s="233"/>
      <c r="D34" s="234"/>
      <c r="E34" s="3">
        <f t="shared" ref="E34:E39" si="5">B34*C34</f>
        <v>0</v>
      </c>
      <c r="F34" s="4">
        <f t="shared" si="4"/>
        <v>0</v>
      </c>
    </row>
    <row r="35" spans="1:9" x14ac:dyDescent="0.25">
      <c r="A35" s="99" t="s">
        <v>76</v>
      </c>
      <c r="B35" s="96"/>
      <c r="C35" s="97"/>
      <c r="D35" s="98"/>
      <c r="E35" s="41">
        <f t="shared" si="5"/>
        <v>0</v>
      </c>
      <c r="F35" s="42">
        <f>B35*D35</f>
        <v>0</v>
      </c>
      <c r="G35" s="84" t="s">
        <v>75</v>
      </c>
      <c r="H35" s="83" t="s">
        <v>6</v>
      </c>
      <c r="I35" s="83" t="s">
        <v>7</v>
      </c>
    </row>
    <row r="36" spans="1:9" x14ac:dyDescent="0.25">
      <c r="A36" s="231" t="s">
        <v>352</v>
      </c>
      <c r="B36" s="232">
        <v>1</v>
      </c>
      <c r="C36" s="3">
        <f>750*I36*H36*G36/50</f>
        <v>15750</v>
      </c>
      <c r="D36" s="4">
        <v>0.5</v>
      </c>
      <c r="E36" s="3">
        <f t="shared" si="5"/>
        <v>15750</v>
      </c>
      <c r="F36" s="4">
        <f>B36*D36</f>
        <v>0.5</v>
      </c>
      <c r="G36" s="237">
        <v>50</v>
      </c>
      <c r="H36" s="237">
        <v>7</v>
      </c>
      <c r="I36" s="237">
        <v>3</v>
      </c>
    </row>
    <row r="37" spans="1:9" x14ac:dyDescent="0.25">
      <c r="A37" s="236"/>
      <c r="B37" s="232"/>
      <c r="C37" s="3">
        <f t="shared" ref="C37:C45" si="6">750*I37*H37*G37/50</f>
        <v>0</v>
      </c>
      <c r="D37" s="4">
        <v>0.5</v>
      </c>
      <c r="E37" s="3">
        <f t="shared" si="5"/>
        <v>0</v>
      </c>
      <c r="F37" s="4">
        <f>B37*D37</f>
        <v>0</v>
      </c>
      <c r="G37" s="237"/>
      <c r="H37" s="237"/>
      <c r="I37" s="237"/>
    </row>
    <row r="38" spans="1:9" x14ac:dyDescent="0.25">
      <c r="A38" s="236"/>
      <c r="B38" s="232"/>
      <c r="C38" s="3">
        <f t="shared" si="6"/>
        <v>0</v>
      </c>
      <c r="D38" s="4">
        <v>0.5</v>
      </c>
      <c r="E38" s="3">
        <f t="shared" si="5"/>
        <v>0</v>
      </c>
      <c r="F38" s="4">
        <f>B38*D38</f>
        <v>0</v>
      </c>
      <c r="G38" s="237"/>
      <c r="H38" s="237"/>
      <c r="I38" s="237"/>
    </row>
    <row r="39" spans="1:9" x14ac:dyDescent="0.25">
      <c r="A39" s="236"/>
      <c r="B39" s="232"/>
      <c r="C39" s="3">
        <f t="shared" si="6"/>
        <v>0</v>
      </c>
      <c r="D39" s="4">
        <v>0.5</v>
      </c>
      <c r="E39" s="3">
        <f t="shared" si="5"/>
        <v>0</v>
      </c>
      <c r="F39" s="4">
        <f>B39*D39</f>
        <v>0</v>
      </c>
      <c r="G39" s="237"/>
      <c r="H39" s="237"/>
      <c r="I39" s="237"/>
    </row>
    <row r="40" spans="1:9" x14ac:dyDescent="0.25">
      <c r="A40" s="236"/>
      <c r="B40" s="232"/>
      <c r="C40" s="3">
        <f t="shared" si="6"/>
        <v>0</v>
      </c>
      <c r="D40" s="4">
        <v>0.5</v>
      </c>
      <c r="E40" s="3">
        <f t="shared" ref="E40:E57" si="7">B40*C40</f>
        <v>0</v>
      </c>
      <c r="F40" s="4">
        <f t="shared" ref="F40:F57" si="8">B40*D40</f>
        <v>0</v>
      </c>
      <c r="G40" s="237"/>
      <c r="H40" s="237"/>
      <c r="I40" s="237"/>
    </row>
    <row r="41" spans="1:9" x14ac:dyDescent="0.25">
      <c r="A41" s="236"/>
      <c r="B41" s="232"/>
      <c r="C41" s="3">
        <f t="shared" si="6"/>
        <v>0</v>
      </c>
      <c r="D41" s="4">
        <v>0.5</v>
      </c>
      <c r="E41" s="3">
        <f t="shared" si="7"/>
        <v>0</v>
      </c>
      <c r="F41" s="4">
        <f t="shared" si="8"/>
        <v>0</v>
      </c>
      <c r="G41" s="237"/>
      <c r="H41" s="237"/>
      <c r="I41" s="237"/>
    </row>
    <row r="42" spans="1:9" x14ac:dyDescent="0.25">
      <c r="A42" s="236"/>
      <c r="B42" s="232"/>
      <c r="C42" s="3">
        <f t="shared" si="6"/>
        <v>0</v>
      </c>
      <c r="D42" s="4">
        <v>0.5</v>
      </c>
      <c r="E42" s="3">
        <f t="shared" si="7"/>
        <v>0</v>
      </c>
      <c r="F42" s="4">
        <f t="shared" si="8"/>
        <v>0</v>
      </c>
      <c r="G42" s="237"/>
      <c r="H42" s="237"/>
      <c r="I42" s="237"/>
    </row>
    <row r="43" spans="1:9" x14ac:dyDescent="0.25">
      <c r="A43" s="236"/>
      <c r="B43" s="232"/>
      <c r="C43" s="3">
        <f t="shared" si="6"/>
        <v>0</v>
      </c>
      <c r="D43" s="4">
        <v>0.5</v>
      </c>
      <c r="E43" s="3">
        <f t="shared" si="7"/>
        <v>0</v>
      </c>
      <c r="F43" s="4">
        <f t="shared" si="8"/>
        <v>0</v>
      </c>
      <c r="G43" s="237"/>
      <c r="H43" s="237"/>
      <c r="I43" s="237"/>
    </row>
    <row r="44" spans="1:9" x14ac:dyDescent="0.25">
      <c r="A44" s="236"/>
      <c r="B44" s="232"/>
      <c r="C44" s="3">
        <f t="shared" si="6"/>
        <v>0</v>
      </c>
      <c r="D44" s="4">
        <v>0.5</v>
      </c>
      <c r="E44" s="3">
        <f t="shared" si="7"/>
        <v>0</v>
      </c>
      <c r="F44" s="4">
        <f t="shared" si="8"/>
        <v>0</v>
      </c>
      <c r="G44" s="237"/>
      <c r="H44" s="237"/>
      <c r="I44" s="237"/>
    </row>
    <row r="45" spans="1:9" x14ac:dyDescent="0.25">
      <c r="A45" s="231"/>
      <c r="B45" s="232"/>
      <c r="C45" s="3">
        <f t="shared" si="6"/>
        <v>0</v>
      </c>
      <c r="D45" s="4">
        <v>0.5</v>
      </c>
      <c r="E45" s="3">
        <f t="shared" si="7"/>
        <v>0</v>
      </c>
      <c r="F45" s="4">
        <f t="shared" si="8"/>
        <v>0</v>
      </c>
      <c r="G45" s="237"/>
      <c r="H45" s="237"/>
      <c r="I45" s="237"/>
    </row>
    <row r="46" spans="1:9" x14ac:dyDescent="0.25">
      <c r="A46" s="99" t="s">
        <v>77</v>
      </c>
      <c r="B46" s="96"/>
      <c r="C46" s="41"/>
      <c r="D46" s="42"/>
      <c r="E46" s="41">
        <f t="shared" si="7"/>
        <v>0</v>
      </c>
      <c r="F46" s="42">
        <f t="shared" si="8"/>
        <v>0</v>
      </c>
      <c r="G46" s="83" t="s">
        <v>6</v>
      </c>
      <c r="H46" s="83" t="s">
        <v>7</v>
      </c>
      <c r="I46" s="5"/>
    </row>
    <row r="47" spans="1:9" x14ac:dyDescent="0.25">
      <c r="A47" s="235"/>
      <c r="B47" s="232"/>
      <c r="C47" s="3">
        <f>50*H47*G47</f>
        <v>50</v>
      </c>
      <c r="D47" s="4">
        <v>0.5</v>
      </c>
      <c r="E47" s="3">
        <f t="shared" si="7"/>
        <v>0</v>
      </c>
      <c r="F47" s="4">
        <f t="shared" si="8"/>
        <v>0</v>
      </c>
      <c r="G47" s="237">
        <v>1</v>
      </c>
      <c r="H47" s="237">
        <v>1</v>
      </c>
    </row>
    <row r="48" spans="1:9" x14ac:dyDescent="0.25">
      <c r="A48" s="235"/>
      <c r="B48" s="232"/>
      <c r="C48" s="3">
        <f>50*H48*G48</f>
        <v>50</v>
      </c>
      <c r="D48" s="4">
        <v>0.5</v>
      </c>
      <c r="E48" s="3">
        <f t="shared" si="7"/>
        <v>0</v>
      </c>
      <c r="F48" s="4">
        <f t="shared" si="8"/>
        <v>0</v>
      </c>
      <c r="G48" s="237">
        <v>1</v>
      </c>
      <c r="H48" s="237">
        <v>1</v>
      </c>
      <c r="I48" s="34"/>
    </row>
    <row r="49" spans="1:8" x14ac:dyDescent="0.25">
      <c r="A49" s="235"/>
      <c r="B49" s="232"/>
      <c r="C49" s="3">
        <f t="shared" ref="C49:C56" si="9">50*H49*G49</f>
        <v>50</v>
      </c>
      <c r="D49" s="4">
        <v>0.5</v>
      </c>
      <c r="E49" s="3">
        <f t="shared" si="7"/>
        <v>0</v>
      </c>
      <c r="F49" s="4">
        <f t="shared" si="8"/>
        <v>0</v>
      </c>
      <c r="G49" s="237">
        <v>1</v>
      </c>
      <c r="H49" s="237">
        <v>1</v>
      </c>
    </row>
    <row r="50" spans="1:8" x14ac:dyDescent="0.25">
      <c r="A50" s="231"/>
      <c r="B50" s="232"/>
      <c r="C50" s="3">
        <f t="shared" si="9"/>
        <v>0</v>
      </c>
      <c r="D50" s="4">
        <v>0.5</v>
      </c>
      <c r="E50" s="3">
        <f t="shared" si="7"/>
        <v>0</v>
      </c>
      <c r="F50" s="4">
        <f t="shared" si="8"/>
        <v>0</v>
      </c>
      <c r="G50" s="237"/>
      <c r="H50" s="237"/>
    </row>
    <row r="51" spans="1:8" x14ac:dyDescent="0.25">
      <c r="A51" s="231"/>
      <c r="B51" s="232"/>
      <c r="C51" s="3">
        <f t="shared" si="9"/>
        <v>0</v>
      </c>
      <c r="D51" s="4">
        <v>0.5</v>
      </c>
      <c r="E51" s="3">
        <f t="shared" si="7"/>
        <v>0</v>
      </c>
      <c r="F51" s="4">
        <f t="shared" si="8"/>
        <v>0</v>
      </c>
      <c r="G51" s="237"/>
      <c r="H51" s="237"/>
    </row>
    <row r="52" spans="1:8" x14ac:dyDescent="0.25">
      <c r="A52" s="231"/>
      <c r="B52" s="232"/>
      <c r="C52" s="3">
        <f t="shared" si="9"/>
        <v>0</v>
      </c>
      <c r="D52" s="4">
        <v>0.5</v>
      </c>
      <c r="E52" s="3">
        <f t="shared" si="7"/>
        <v>0</v>
      </c>
      <c r="F52" s="4">
        <f t="shared" si="8"/>
        <v>0</v>
      </c>
      <c r="G52" s="237"/>
      <c r="H52" s="237"/>
    </row>
    <row r="53" spans="1:8" x14ac:dyDescent="0.25">
      <c r="A53" s="231"/>
      <c r="B53" s="232"/>
      <c r="C53" s="3">
        <f t="shared" si="9"/>
        <v>0</v>
      </c>
      <c r="D53" s="4">
        <v>0.5</v>
      </c>
      <c r="E53" s="3">
        <f t="shared" si="7"/>
        <v>0</v>
      </c>
      <c r="F53" s="4">
        <f t="shared" si="8"/>
        <v>0</v>
      </c>
      <c r="G53" s="237"/>
      <c r="H53" s="237"/>
    </row>
    <row r="54" spans="1:8" x14ac:dyDescent="0.25">
      <c r="A54" s="231"/>
      <c r="B54" s="232"/>
      <c r="C54" s="3">
        <f t="shared" si="9"/>
        <v>0</v>
      </c>
      <c r="D54" s="4">
        <v>0.5</v>
      </c>
      <c r="E54" s="3">
        <f t="shared" si="7"/>
        <v>0</v>
      </c>
      <c r="F54" s="4">
        <f t="shared" si="8"/>
        <v>0</v>
      </c>
      <c r="G54" s="237"/>
      <c r="H54" s="237"/>
    </row>
    <row r="55" spans="1:8" x14ac:dyDescent="0.25">
      <c r="A55" s="231"/>
      <c r="B55" s="232"/>
      <c r="C55" s="3">
        <f t="shared" si="9"/>
        <v>0</v>
      </c>
      <c r="D55" s="4">
        <v>0.5</v>
      </c>
      <c r="E55" s="3">
        <f t="shared" si="7"/>
        <v>0</v>
      </c>
      <c r="F55" s="4">
        <f t="shared" si="8"/>
        <v>0</v>
      </c>
      <c r="G55" s="237"/>
      <c r="H55" s="237"/>
    </row>
    <row r="56" spans="1:8" x14ac:dyDescent="0.25">
      <c r="A56" s="231"/>
      <c r="B56" s="232"/>
      <c r="C56" s="3">
        <f t="shared" si="9"/>
        <v>0</v>
      </c>
      <c r="D56" s="4">
        <v>0.5</v>
      </c>
      <c r="E56" s="3">
        <f t="shared" si="7"/>
        <v>0</v>
      </c>
      <c r="F56" s="4">
        <f t="shared" si="8"/>
        <v>0</v>
      </c>
      <c r="G56" s="237"/>
      <c r="H56" s="237"/>
    </row>
    <row r="57" spans="1:8" x14ac:dyDescent="0.25">
      <c r="A57" s="99" t="s">
        <v>71</v>
      </c>
      <c r="B57" s="96"/>
      <c r="C57" s="41"/>
      <c r="D57" s="42"/>
      <c r="E57" s="41">
        <f t="shared" si="7"/>
        <v>0</v>
      </c>
      <c r="F57" s="42">
        <f t="shared" si="8"/>
        <v>0</v>
      </c>
      <c r="G57" s="83" t="s">
        <v>6</v>
      </c>
      <c r="H57" s="83" t="s">
        <v>7</v>
      </c>
    </row>
    <row r="58" spans="1:8" x14ac:dyDescent="0.25">
      <c r="A58" s="235"/>
      <c r="B58" s="232"/>
      <c r="C58" s="3">
        <f>25*H58*G58</f>
        <v>25</v>
      </c>
      <c r="D58" s="4">
        <v>0.5</v>
      </c>
      <c r="E58" s="3">
        <f t="shared" ref="E58:E83" si="10">B58*C58</f>
        <v>0</v>
      </c>
      <c r="F58" s="4">
        <f t="shared" ref="F58:F83" si="11">B58*D58</f>
        <v>0</v>
      </c>
      <c r="G58" s="237">
        <v>1</v>
      </c>
      <c r="H58" s="237">
        <v>1</v>
      </c>
    </row>
    <row r="59" spans="1:8" x14ac:dyDescent="0.25">
      <c r="A59" s="235"/>
      <c r="B59" s="232"/>
      <c r="C59" s="3">
        <f>25*H59*G59</f>
        <v>25</v>
      </c>
      <c r="D59" s="4">
        <v>0.5</v>
      </c>
      <c r="E59" s="3">
        <f t="shared" si="10"/>
        <v>0</v>
      </c>
      <c r="F59" s="4">
        <f t="shared" si="11"/>
        <v>0</v>
      </c>
      <c r="G59" s="237">
        <v>1</v>
      </c>
      <c r="H59" s="237">
        <v>1</v>
      </c>
    </row>
    <row r="60" spans="1:8" x14ac:dyDescent="0.25">
      <c r="A60" s="235"/>
      <c r="B60" s="232"/>
      <c r="C60" s="3">
        <f t="shared" ref="C60:C67" si="12">25*H60*G60</f>
        <v>25</v>
      </c>
      <c r="D60" s="4">
        <v>0.5</v>
      </c>
      <c r="E60" s="3">
        <f t="shared" si="10"/>
        <v>0</v>
      </c>
      <c r="F60" s="4">
        <f t="shared" si="11"/>
        <v>0</v>
      </c>
      <c r="G60" s="237">
        <v>1</v>
      </c>
      <c r="H60" s="237">
        <v>1</v>
      </c>
    </row>
    <row r="61" spans="1:8" x14ac:dyDescent="0.25">
      <c r="A61" s="231"/>
      <c r="B61" s="232"/>
      <c r="C61" s="3">
        <f t="shared" si="12"/>
        <v>0</v>
      </c>
      <c r="D61" s="4">
        <v>0.5</v>
      </c>
      <c r="E61" s="3">
        <f t="shared" si="10"/>
        <v>0</v>
      </c>
      <c r="F61" s="4">
        <f t="shared" si="11"/>
        <v>0</v>
      </c>
      <c r="G61" s="237"/>
      <c r="H61" s="237"/>
    </row>
    <row r="62" spans="1:8" x14ac:dyDescent="0.25">
      <c r="A62" s="236"/>
      <c r="B62" s="232"/>
      <c r="C62" s="3">
        <f t="shared" si="12"/>
        <v>0</v>
      </c>
      <c r="D62" s="4">
        <v>0.5</v>
      </c>
      <c r="E62" s="3">
        <f t="shared" si="10"/>
        <v>0</v>
      </c>
      <c r="F62" s="4">
        <f t="shared" si="11"/>
        <v>0</v>
      </c>
      <c r="G62" s="237"/>
      <c r="H62" s="237"/>
    </row>
    <row r="63" spans="1:8" x14ac:dyDescent="0.25">
      <c r="A63" s="236"/>
      <c r="B63" s="232"/>
      <c r="C63" s="3">
        <f t="shared" si="12"/>
        <v>0</v>
      </c>
      <c r="D63" s="4">
        <v>0.5</v>
      </c>
      <c r="E63" s="3">
        <f t="shared" si="10"/>
        <v>0</v>
      </c>
      <c r="F63" s="4">
        <f t="shared" si="11"/>
        <v>0</v>
      </c>
      <c r="G63" s="237"/>
      <c r="H63" s="237"/>
    </row>
    <row r="64" spans="1:8" x14ac:dyDescent="0.25">
      <c r="A64" s="236"/>
      <c r="B64" s="232"/>
      <c r="C64" s="3">
        <f t="shared" si="12"/>
        <v>0</v>
      </c>
      <c r="D64" s="4">
        <v>0.5</v>
      </c>
      <c r="E64" s="3">
        <f t="shared" si="10"/>
        <v>0</v>
      </c>
      <c r="F64" s="4">
        <f t="shared" si="11"/>
        <v>0</v>
      </c>
      <c r="G64" s="237"/>
      <c r="H64" s="237"/>
    </row>
    <row r="65" spans="1:11" x14ac:dyDescent="0.25">
      <c r="A65" s="236"/>
      <c r="B65" s="232"/>
      <c r="C65" s="3">
        <f t="shared" si="12"/>
        <v>0</v>
      </c>
      <c r="D65" s="4">
        <v>0.5</v>
      </c>
      <c r="E65" s="3">
        <f t="shared" si="10"/>
        <v>0</v>
      </c>
      <c r="F65" s="4">
        <f t="shared" si="11"/>
        <v>0</v>
      </c>
      <c r="G65" s="238"/>
      <c r="H65" s="238"/>
    </row>
    <row r="66" spans="1:11" x14ac:dyDescent="0.25">
      <c r="A66" s="236"/>
      <c r="B66" s="232"/>
      <c r="C66" s="3">
        <f t="shared" si="12"/>
        <v>0</v>
      </c>
      <c r="D66" s="4">
        <v>0.5</v>
      </c>
      <c r="E66" s="3">
        <f t="shared" si="10"/>
        <v>0</v>
      </c>
      <c r="F66" s="4">
        <f t="shared" si="11"/>
        <v>0</v>
      </c>
      <c r="G66" s="238"/>
      <c r="H66" s="238"/>
    </row>
    <row r="67" spans="1:11" x14ac:dyDescent="0.25">
      <c r="A67" s="236"/>
      <c r="B67" s="232"/>
      <c r="C67" s="3">
        <f t="shared" si="12"/>
        <v>0</v>
      </c>
      <c r="D67" s="4">
        <v>0.5</v>
      </c>
      <c r="E67" s="3">
        <f t="shared" si="10"/>
        <v>0</v>
      </c>
      <c r="F67" s="4">
        <f t="shared" si="11"/>
        <v>0</v>
      </c>
      <c r="G67" s="238"/>
      <c r="H67" s="238"/>
    </row>
    <row r="68" spans="1:11" x14ac:dyDescent="0.25">
      <c r="A68" s="99" t="s">
        <v>205</v>
      </c>
      <c r="B68" s="96"/>
      <c r="C68" s="41"/>
      <c r="D68" s="42"/>
      <c r="E68" s="41"/>
      <c r="F68" s="147"/>
      <c r="G68" s="148"/>
      <c r="H68" s="148"/>
    </row>
    <row r="69" spans="1:11" x14ac:dyDescent="0.25">
      <c r="A69" s="235"/>
      <c r="B69" s="232"/>
      <c r="C69" s="233"/>
      <c r="D69" s="234"/>
      <c r="E69" s="3">
        <f t="shared" ref="E69:E77" si="13">B69*C69</f>
        <v>0</v>
      </c>
      <c r="F69" s="4">
        <f t="shared" ref="F69:F77" si="14">B69*D69</f>
        <v>0</v>
      </c>
      <c r="G69" s="149"/>
      <c r="H69" s="149"/>
    </row>
    <row r="70" spans="1:11" x14ac:dyDescent="0.25">
      <c r="A70" s="235"/>
      <c r="B70" s="232"/>
      <c r="C70" s="233"/>
      <c r="D70" s="234"/>
      <c r="E70" s="3">
        <f t="shared" si="13"/>
        <v>0</v>
      </c>
      <c r="F70" s="4">
        <f t="shared" si="14"/>
        <v>0</v>
      </c>
      <c r="G70" s="149"/>
      <c r="H70" s="149"/>
    </row>
    <row r="71" spans="1:11" x14ac:dyDescent="0.25">
      <c r="A71" s="235"/>
      <c r="B71" s="232"/>
      <c r="C71" s="233"/>
      <c r="D71" s="234"/>
      <c r="E71" s="3">
        <f t="shared" si="13"/>
        <v>0</v>
      </c>
      <c r="F71" s="4">
        <f t="shared" si="14"/>
        <v>0</v>
      </c>
      <c r="G71" s="149"/>
      <c r="H71" s="149"/>
      <c r="J71"/>
      <c r="K71"/>
    </row>
    <row r="72" spans="1:11" x14ac:dyDescent="0.25">
      <c r="A72" s="235"/>
      <c r="B72" s="232"/>
      <c r="C72" s="233"/>
      <c r="D72" s="234"/>
      <c r="E72" s="3">
        <f t="shared" si="13"/>
        <v>0</v>
      </c>
      <c r="F72" s="4">
        <f t="shared" si="14"/>
        <v>0</v>
      </c>
      <c r="G72" s="149"/>
      <c r="H72" s="149"/>
      <c r="J72"/>
    </row>
    <row r="73" spans="1:11" x14ac:dyDescent="0.25">
      <c r="A73" s="99" t="s">
        <v>206</v>
      </c>
      <c r="B73" s="96"/>
      <c r="C73" s="41"/>
      <c r="D73" s="42"/>
      <c r="E73" s="41"/>
      <c r="F73" s="147"/>
      <c r="G73" s="148"/>
      <c r="H73" s="148"/>
      <c r="J73"/>
    </row>
    <row r="74" spans="1:11" x14ac:dyDescent="0.25">
      <c r="A74" s="235"/>
      <c r="B74" s="232"/>
      <c r="C74" s="233"/>
      <c r="D74" s="234"/>
      <c r="E74" s="3">
        <f>B74*C74</f>
        <v>0</v>
      </c>
      <c r="F74" s="4">
        <f>B74*D74</f>
        <v>0</v>
      </c>
      <c r="G74" s="149"/>
      <c r="H74" s="149"/>
      <c r="J74"/>
    </row>
    <row r="75" spans="1:11" x14ac:dyDescent="0.25">
      <c r="A75" s="235"/>
      <c r="B75" s="232"/>
      <c r="C75" s="233"/>
      <c r="D75" s="234"/>
      <c r="E75" s="3">
        <f>B75*C75</f>
        <v>0</v>
      </c>
      <c r="F75" s="4">
        <f>B75*D75</f>
        <v>0</v>
      </c>
      <c r="G75" s="149"/>
      <c r="H75" s="149"/>
    </row>
    <row r="76" spans="1:11" x14ac:dyDescent="0.25">
      <c r="A76" s="235"/>
      <c r="B76" s="232"/>
      <c r="C76" s="233"/>
      <c r="D76" s="234"/>
      <c r="E76" s="3">
        <f>B76*C76</f>
        <v>0</v>
      </c>
      <c r="F76" s="4">
        <f>B76*D76</f>
        <v>0</v>
      </c>
      <c r="G76" s="149"/>
      <c r="H76" s="149"/>
    </row>
    <row r="77" spans="1:11" x14ac:dyDescent="0.25">
      <c r="A77" s="235"/>
      <c r="B77" s="232"/>
      <c r="C77" s="233"/>
      <c r="D77" s="234"/>
      <c r="E77" s="3">
        <f t="shared" si="13"/>
        <v>0</v>
      </c>
      <c r="F77" s="4">
        <f t="shared" si="14"/>
        <v>0</v>
      </c>
      <c r="G77" s="149"/>
      <c r="H77" s="149"/>
    </row>
    <row r="78" spans="1:11" ht="15.75" thickBot="1" x14ac:dyDescent="0.3">
      <c r="A78" s="150"/>
      <c r="B78" s="151"/>
      <c r="C78" s="152"/>
      <c r="D78" s="153"/>
      <c r="E78" s="154"/>
      <c r="F78" s="155"/>
      <c r="G78" s="149"/>
      <c r="H78" s="149"/>
    </row>
    <row r="79" spans="1:11" x14ac:dyDescent="0.25">
      <c r="A79" s="88" t="s">
        <v>73</v>
      </c>
      <c r="B79" s="239">
        <v>0</v>
      </c>
      <c r="C79" s="3">
        <v>0.01</v>
      </c>
      <c r="D79" s="4">
        <v>0.01</v>
      </c>
      <c r="E79" s="3">
        <f t="shared" si="10"/>
        <v>0</v>
      </c>
      <c r="F79" s="4">
        <f t="shared" si="11"/>
        <v>0</v>
      </c>
      <c r="G79" s="94"/>
      <c r="H79" s="94"/>
    </row>
    <row r="80" spans="1:11" x14ac:dyDescent="0.25">
      <c r="A80" s="89" t="s">
        <v>74</v>
      </c>
      <c r="B80" s="240">
        <v>0</v>
      </c>
      <c r="C80" s="3">
        <v>0.1</v>
      </c>
      <c r="D80" s="4">
        <v>0.01</v>
      </c>
      <c r="E80" s="3">
        <f t="shared" si="10"/>
        <v>0</v>
      </c>
      <c r="F80" s="4">
        <f t="shared" si="11"/>
        <v>0</v>
      </c>
      <c r="G80" s="94"/>
      <c r="H80" s="94"/>
    </row>
    <row r="81" spans="1:10" x14ac:dyDescent="0.25">
      <c r="A81" s="90" t="s">
        <v>8</v>
      </c>
      <c r="B81" s="240">
        <v>100</v>
      </c>
      <c r="C81" s="3">
        <v>1</v>
      </c>
      <c r="D81" s="4">
        <f>1/100</f>
        <v>0.01</v>
      </c>
      <c r="E81" s="3">
        <f t="shared" si="10"/>
        <v>100</v>
      </c>
      <c r="F81" s="4">
        <f t="shared" si="11"/>
        <v>1</v>
      </c>
      <c r="G81" s="94"/>
      <c r="H81" s="94"/>
    </row>
    <row r="82" spans="1:10" x14ac:dyDescent="0.25">
      <c r="A82" s="91" t="s">
        <v>72</v>
      </c>
      <c r="B82" s="240">
        <v>0</v>
      </c>
      <c r="C82" s="3">
        <v>10</v>
      </c>
      <c r="D82" s="4">
        <v>0.01</v>
      </c>
      <c r="E82" s="3">
        <f t="shared" si="10"/>
        <v>0</v>
      </c>
      <c r="F82" s="4">
        <f t="shared" si="11"/>
        <v>0</v>
      </c>
      <c r="G82" s="94"/>
      <c r="H82" s="94"/>
    </row>
    <row r="83" spans="1:10" ht="15.75" thickBot="1" x14ac:dyDescent="0.3">
      <c r="A83" s="92" t="s">
        <v>78</v>
      </c>
      <c r="B83" s="93">
        <v>1</v>
      </c>
      <c r="C83" s="87">
        <v>2</v>
      </c>
      <c r="D83" s="39">
        <v>1</v>
      </c>
      <c r="E83" s="95">
        <f t="shared" si="10"/>
        <v>2</v>
      </c>
      <c r="F83" s="39">
        <f t="shared" si="11"/>
        <v>1</v>
      </c>
      <c r="G83" s="85" t="s">
        <v>221</v>
      </c>
      <c r="H83" s="85" t="s">
        <v>220</v>
      </c>
      <c r="I83" s="85" t="s">
        <v>222</v>
      </c>
    </row>
    <row r="84" spans="1:10" ht="15.75" thickBot="1" x14ac:dyDescent="0.3">
      <c r="A84" s="161"/>
      <c r="B84" s="215"/>
      <c r="C84" s="95"/>
      <c r="D84" s="203" t="s">
        <v>141</v>
      </c>
      <c r="E84" s="216">
        <f>SUM(E2:E83)</f>
        <v>67000</v>
      </c>
      <c r="F84" s="204">
        <f>SUM(F2:F83)</f>
        <v>20.05</v>
      </c>
      <c r="G84" s="85">
        <f>VLOOKUP(FORCE_TOTAL,Ref!A2:D30,2,FALSE)*K1</f>
        <v>25</v>
      </c>
      <c r="H84" s="85">
        <f>VLOOKUP(FORCE_TOTAL,Ref!A2:D30,3,FALSE)*K1</f>
        <v>50</v>
      </c>
      <c r="I84" s="47">
        <f>VLOOKUP(FORCE_TOTAL,Ref!A2:D30,4,FALSE)*K1</f>
        <v>75</v>
      </c>
    </row>
    <row r="85" spans="1:10" x14ac:dyDescent="0.25">
      <c r="A85" s="70" t="s">
        <v>189</v>
      </c>
      <c r="B85" s="156">
        <f>SUM(E79:E82)</f>
        <v>100</v>
      </c>
      <c r="C85" s="1"/>
      <c r="D85" s="1"/>
      <c r="E85" s="170" t="s">
        <v>226</v>
      </c>
      <c r="F85" s="205">
        <f>IF((CHARGE)&gt;INTERMEDIAIRE,-6,IF((CHARGE)&gt;LEGERE,-3,0))</f>
        <v>0</v>
      </c>
      <c r="G85" s="161"/>
      <c r="H85" s="169" t="s">
        <v>234</v>
      </c>
      <c r="I85" s="61">
        <f>LOURDE</f>
        <v>75</v>
      </c>
      <c r="J85" s="217" t="s">
        <v>224</v>
      </c>
    </row>
    <row r="86" spans="1:10" x14ac:dyDescent="0.25">
      <c r="A86" s="185" t="s">
        <v>207</v>
      </c>
      <c r="B86" s="157">
        <f>SUM(E69:E72)</f>
        <v>0</v>
      </c>
      <c r="C86" s="1"/>
      <c r="D86" s="1"/>
      <c r="E86" s="170" t="s">
        <v>227</v>
      </c>
      <c r="F86" s="205" t="str">
        <f>IF((CHARGE)&gt;LOURDE,0,IF((CHARGE)&gt;INTERMEDIAIRE,1,IF((CHARGE)&gt;LEGERE,3,"-")))</f>
        <v>-</v>
      </c>
      <c r="G86" s="161"/>
      <c r="H86" s="170" t="s">
        <v>233</v>
      </c>
      <c r="I86" s="131">
        <f>LOURDE*2</f>
        <v>150</v>
      </c>
      <c r="J86" s="217" t="s">
        <v>225</v>
      </c>
    </row>
    <row r="87" spans="1:10" x14ac:dyDescent="0.25">
      <c r="A87" s="185" t="s">
        <v>208</v>
      </c>
      <c r="B87" s="157">
        <f>SUM(E74:E77)/2</f>
        <v>0</v>
      </c>
      <c r="C87" s="1"/>
      <c r="D87" s="1"/>
      <c r="E87" s="171" t="s">
        <v>228</v>
      </c>
      <c r="F87" s="206">
        <f>IF(CHARGE&gt;LOURDE,1.5,IF((CHARGE)&gt;LEGERE,IF((VITESSE_RACIAL+VITESSE_BONUS)&gt;15,12,IF((VITESSE_RACIAL+VITESSE_BONUS)&gt;12,10.5,IF((VITESSE_RACIAL+VITESSE_BONUS)&gt;9,9,IF((VITESSE_RACIAL+VITESSE_BONUS)&gt;6,6,4.5)))),VITESSE_RACIAL+VITESSE_BONUS))</f>
        <v>12</v>
      </c>
      <c r="G87" s="161"/>
      <c r="H87" s="171" t="s">
        <v>223</v>
      </c>
      <c r="I87" s="47">
        <f>LOURDE*5</f>
        <v>375</v>
      </c>
    </row>
    <row r="88" spans="1:10" x14ac:dyDescent="0.25">
      <c r="A88" s="158" t="s">
        <v>188</v>
      </c>
      <c r="B88" s="159">
        <f>SUM(B85:B87)</f>
        <v>100</v>
      </c>
      <c r="C88" s="1"/>
      <c r="D88" s="1"/>
      <c r="E88" s="170" t="s">
        <v>230</v>
      </c>
      <c r="F88" s="207">
        <v>0</v>
      </c>
      <c r="G88" s="161"/>
      <c r="H88" s="208"/>
      <c r="I88" s="209"/>
    </row>
    <row r="89" spans="1:10" x14ac:dyDescent="0.25">
      <c r="B89" s="1"/>
      <c r="C89" s="1"/>
      <c r="D89" s="1"/>
      <c r="E89" s="170" t="s">
        <v>232</v>
      </c>
      <c r="F89" s="210" t="s">
        <v>103</v>
      </c>
      <c r="G89" s="208"/>
      <c r="H89" s="208"/>
      <c r="I89" s="208"/>
    </row>
    <row r="90" spans="1:10" ht="15.75" thickBot="1" x14ac:dyDescent="0.3">
      <c r="A90" s="20"/>
      <c r="B90" s="271"/>
      <c r="C90" s="1"/>
      <c r="D90" s="1"/>
      <c r="E90" s="170" t="s">
        <v>229</v>
      </c>
      <c r="F90" s="131">
        <f>IF(OR(H90="Intermédiaire",H90="Lourde"),IF((VITESSE_RACIAL+VITESSE_BONUS)&gt;15,12,IF((VITESSE_RACIAL+VITESSE_BONUS)&gt;12,10.5,IF((VITESSE_RACIAL+VITESSE_BONUS)&gt;9,9,IF((VITESSE_RACIAL+VITESSE_BONUS)&gt;6,6,4.5)))),(VITESSE_RACIAL+VITESSE_BONUS))</f>
        <v>12</v>
      </c>
      <c r="G90" s="113" t="s">
        <v>214</v>
      </c>
      <c r="H90" s="211" t="s">
        <v>215</v>
      </c>
      <c r="I90" s="208"/>
    </row>
    <row r="91" spans="1:10" x14ac:dyDescent="0.25">
      <c r="B91" s="1"/>
      <c r="C91" s="1"/>
      <c r="D91" s="1"/>
      <c r="E91" s="212" t="s">
        <v>216</v>
      </c>
      <c r="F91" s="213">
        <f>MIN(MALUS_TESTS_ARMURE,MALUS_TESTS_ENCOMB)</f>
        <v>0</v>
      </c>
    </row>
    <row r="92" spans="1:10" x14ac:dyDescent="0.25">
      <c r="B92" s="1"/>
      <c r="C92" s="1"/>
      <c r="D92" s="1"/>
      <c r="E92" s="91" t="s">
        <v>217</v>
      </c>
      <c r="F92" s="214" t="str">
        <f>IF(AND(DEX_MAX_ARMURE&lt;&gt;"-",DEX_MAX_ENCOMB&lt;&gt;"-"),MIN(DEX_MAX_ENCOMB,DEX_MAX_ARMURE),IF(DEX_MAX_ARMURE&lt;&gt;"-",DEX_MAX_ARMURE,IF(DEX_MAX_ENCOMB&lt;&gt;"-",DEX_MAX_ENCOMB,"-")))</f>
        <v>-</v>
      </c>
    </row>
    <row r="93" spans="1:10" ht="15.75" thickBot="1" x14ac:dyDescent="0.3">
      <c r="B93" s="1"/>
      <c r="C93" s="1"/>
      <c r="D93" s="1"/>
      <c r="E93" s="108" t="s">
        <v>231</v>
      </c>
      <c r="F93" s="93">
        <f>MIN(VITESSE_REDUC_ARMURE,VITESSE_REDUC_ENCOMB)</f>
        <v>12</v>
      </c>
      <c r="G93" s="208"/>
      <c r="H93" s="208"/>
      <c r="I93" s="208"/>
    </row>
    <row r="94" spans="1:10" x14ac:dyDescent="0.25">
      <c r="B94" s="1"/>
      <c r="C94" s="1"/>
      <c r="G94" s="208"/>
      <c r="H94" s="208"/>
      <c r="I94" s="208"/>
    </row>
    <row r="95" spans="1:10" x14ac:dyDescent="0.25">
      <c r="G95" s="208"/>
      <c r="H95" s="208"/>
      <c r="I95" s="208"/>
    </row>
    <row r="96" spans="1:10" x14ac:dyDescent="0.25">
      <c r="A96"/>
      <c r="C96" s="3"/>
      <c r="D96" s="4"/>
      <c r="E96" s="3"/>
      <c r="G96" s="5"/>
      <c r="H96" s="5"/>
    </row>
    <row r="100" spans="5:5" x14ac:dyDescent="0.25">
      <c r="E100" s="6"/>
    </row>
    <row r="101" spans="5:5" x14ac:dyDescent="0.25">
      <c r="E101" s="6"/>
    </row>
  </sheetData>
  <phoneticPr fontId="0" type="noConversion"/>
  <conditionalFormatting sqref="F84">
    <cfRule type="cellIs" dxfId="8" priority="6" stopIfTrue="1" operator="between">
      <formula>$H$84</formula>
      <formula>$I$84</formula>
    </cfRule>
    <cfRule type="cellIs" dxfId="7" priority="7" stopIfTrue="1" operator="between">
      <formula>$G$84</formula>
      <formula>$H$84</formula>
    </cfRule>
    <cfRule type="cellIs" dxfId="6" priority="8" stopIfTrue="1" operator="lessThan">
      <formula>$G$84</formula>
    </cfRule>
  </conditionalFormatting>
  <conditionalFormatting sqref="F84">
    <cfRule type="cellIs" dxfId="5" priority="9" stopIfTrue="1" operator="greaterThan">
      <formula>$I$84</formula>
    </cfRule>
  </conditionalFormatting>
  <conditionalFormatting sqref="A2:G15 A17:G34 A36:I45 A47:H56 A58:H67 A69:F72 A74:F77 A83:F83">
    <cfRule type="expression" dxfId="4" priority="1">
      <formula>$B2=0</formula>
    </cfRule>
  </conditionalFormatting>
  <dataValidations disablePrompts="1" count="1">
    <dataValidation type="list" allowBlank="1" showInputMessage="1" showErrorMessage="1" sqref="H90">
      <formula1>"Aucune,Légère,Intermédiaire,Lourde"</formula1>
    </dataValidation>
  </dataValidations>
  <hyperlinks>
    <hyperlink ref="H21" r:id="rId1" location="Topic1465"/>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U84"/>
  <sheetViews>
    <sheetView workbookViewId="0">
      <pane xSplit="1" ySplit="1" topLeftCell="B2" activePane="bottomRight" state="frozen"/>
      <selection pane="topRight" activeCell="B1" sqref="B1"/>
      <selection pane="bottomLeft" activeCell="A2" sqref="A2"/>
      <selection pane="bottomRight" activeCell="K5" sqref="K5"/>
    </sheetView>
  </sheetViews>
  <sheetFormatPr baseColWidth="10" defaultRowHeight="15" x14ac:dyDescent="0.25"/>
  <cols>
    <col min="1" max="1" width="33" customWidth="1"/>
    <col min="2" max="2" width="57.85546875" style="177" bestFit="1" customWidth="1"/>
    <col min="3" max="3" width="11" style="131" customWidth="1"/>
    <col min="4" max="19" width="11.42578125" style="292"/>
    <col min="20" max="21" width="11.42578125" style="104"/>
  </cols>
  <sheetData>
    <row r="1" spans="1:21" s="246" customFormat="1" ht="15.75" thickBot="1" x14ac:dyDescent="0.3">
      <c r="A1" s="203" t="s">
        <v>385</v>
      </c>
      <c r="B1" s="291" t="s">
        <v>415</v>
      </c>
      <c r="C1" s="296"/>
      <c r="D1" s="294"/>
      <c r="E1" s="294"/>
      <c r="F1" s="294"/>
      <c r="G1" s="294"/>
      <c r="H1" s="294"/>
      <c r="I1" s="294"/>
      <c r="J1" s="294"/>
      <c r="K1" s="294"/>
      <c r="L1" s="294"/>
      <c r="M1" s="294"/>
      <c r="N1" s="294"/>
      <c r="O1" s="294"/>
      <c r="P1" s="294"/>
      <c r="Q1" s="294"/>
      <c r="R1" s="294"/>
      <c r="S1" s="294"/>
      <c r="T1" s="295"/>
      <c r="U1" s="295"/>
    </row>
    <row r="2" spans="1:21" s="246" customFormat="1" x14ac:dyDescent="0.25">
      <c r="A2" s="246" t="s">
        <v>379</v>
      </c>
      <c r="B2" s="177" t="str">
        <f>""&amp;HLOOKUP($B$1,$C$2:$AA$99,ROW(A2)-ROW($A$1),0)</f>
        <v>Guépard</v>
      </c>
      <c r="C2" s="307" t="s">
        <v>392</v>
      </c>
      <c r="D2" s="292" t="s">
        <v>400</v>
      </c>
      <c r="E2" s="292" t="s">
        <v>404</v>
      </c>
      <c r="F2" s="292" t="s">
        <v>410</v>
      </c>
      <c r="G2" s="292" t="s">
        <v>415</v>
      </c>
      <c r="H2" s="292" t="s">
        <v>419</v>
      </c>
      <c r="I2" s="292" t="s">
        <v>424</v>
      </c>
      <c r="J2" s="292" t="s">
        <v>433</v>
      </c>
      <c r="K2" s="292" t="s">
        <v>428</v>
      </c>
      <c r="L2" s="292"/>
      <c r="M2" s="292"/>
      <c r="N2" s="292"/>
      <c r="O2" s="292"/>
      <c r="P2" s="292"/>
      <c r="Q2" s="292"/>
      <c r="R2" s="292"/>
      <c r="S2" s="292"/>
      <c r="T2" s="104"/>
      <c r="U2" s="104"/>
    </row>
    <row r="3" spans="1:21" s="246" customFormat="1" x14ac:dyDescent="0.25">
      <c r="A3" s="246" t="s">
        <v>70</v>
      </c>
      <c r="B3" s="177" t="str">
        <f>""&amp;HLOOKUP($B$1,$C$2:$AA$99,ROW(A3)-ROW($A$1),0)</f>
        <v>Animal</v>
      </c>
      <c r="C3" s="131" t="s">
        <v>382</v>
      </c>
      <c r="D3" s="292" t="s">
        <v>382</v>
      </c>
      <c r="E3" s="292" t="s">
        <v>382</v>
      </c>
      <c r="F3" s="292" t="s">
        <v>382</v>
      </c>
      <c r="G3" s="292" t="s">
        <v>382</v>
      </c>
      <c r="H3" s="292" t="s">
        <v>382</v>
      </c>
      <c r="I3" s="292" t="s">
        <v>382</v>
      </c>
      <c r="J3" s="292" t="s">
        <v>382</v>
      </c>
      <c r="K3" s="292" t="s">
        <v>382</v>
      </c>
      <c r="L3" s="292" t="s">
        <v>382</v>
      </c>
      <c r="M3" s="292" t="s">
        <v>382</v>
      </c>
      <c r="N3" s="292" t="s">
        <v>382</v>
      </c>
      <c r="O3" s="292" t="s">
        <v>382</v>
      </c>
      <c r="P3" s="292" t="s">
        <v>382</v>
      </c>
      <c r="Q3" s="292" t="s">
        <v>382</v>
      </c>
      <c r="R3" s="292" t="s">
        <v>382</v>
      </c>
      <c r="S3" s="292" t="s">
        <v>382</v>
      </c>
      <c r="T3" s="292" t="s">
        <v>382</v>
      </c>
      <c r="U3" s="292" t="s">
        <v>382</v>
      </c>
    </row>
    <row r="4" spans="1:21" s="246" customFormat="1" x14ac:dyDescent="0.25">
      <c r="A4" s="249" t="s">
        <v>111</v>
      </c>
      <c r="B4" s="177" t="str">
        <f>""&amp;HLOOKUP($B$1,$C$2:$AA$99,ROW(A4)-ROW($A$1),0)</f>
        <v>3</v>
      </c>
      <c r="C4" s="131">
        <v>1</v>
      </c>
      <c r="D4" s="292">
        <v>1</v>
      </c>
      <c r="E4" s="292">
        <v>3</v>
      </c>
      <c r="F4" s="292">
        <v>2</v>
      </c>
      <c r="G4" s="292">
        <v>3</v>
      </c>
      <c r="H4" s="292">
        <v>3</v>
      </c>
      <c r="I4" s="292">
        <v>1</v>
      </c>
      <c r="J4" s="292">
        <v>1</v>
      </c>
      <c r="K4" s="292">
        <v>3</v>
      </c>
      <c r="L4" s="292"/>
      <c r="M4" s="292"/>
      <c r="N4" s="292"/>
      <c r="O4" s="292"/>
      <c r="P4" s="292"/>
      <c r="Q4" s="292"/>
      <c r="R4" s="292"/>
      <c r="S4" s="292"/>
      <c r="T4" s="292"/>
      <c r="U4" s="292"/>
    </row>
    <row r="5" spans="1:21" s="297" customFormat="1" x14ac:dyDescent="0.25">
      <c r="A5" s="297" t="s">
        <v>376</v>
      </c>
      <c r="B5" s="298" t="str">
        <f>""&amp;HLOOKUP($B$1,$C$2:$AA$99,ROW(A5)-ROW($A$1),0)</f>
        <v/>
      </c>
      <c r="C5" s="296"/>
      <c r="D5" s="294"/>
      <c r="E5" s="294"/>
      <c r="F5" s="294"/>
      <c r="G5" s="294"/>
      <c r="H5" s="294"/>
      <c r="I5" s="294"/>
      <c r="J5" s="294"/>
      <c r="K5" s="294"/>
      <c r="L5" s="294"/>
      <c r="M5" s="294"/>
      <c r="N5" s="294"/>
      <c r="O5" s="294"/>
      <c r="P5" s="294"/>
      <c r="Q5" s="294"/>
      <c r="R5" s="294"/>
      <c r="S5" s="294"/>
      <c r="T5" s="295"/>
      <c r="U5" s="295"/>
    </row>
    <row r="6" spans="1:21" x14ac:dyDescent="0.25">
      <c r="A6" t="s">
        <v>17</v>
      </c>
      <c r="B6" s="177" t="str">
        <f>""&amp;HLOOKUP($B$1,$C$2:$AA$99,ROW(A6)-ROW($A$1),0)</f>
        <v>16</v>
      </c>
      <c r="C6" s="210">
        <v>12</v>
      </c>
      <c r="D6" s="293">
        <v>8</v>
      </c>
      <c r="E6" s="293">
        <v>17</v>
      </c>
      <c r="F6" s="293">
        <v>8</v>
      </c>
      <c r="G6" s="293">
        <v>16</v>
      </c>
      <c r="H6" s="293">
        <v>19</v>
      </c>
      <c r="I6" s="293">
        <v>6</v>
      </c>
      <c r="J6" s="293">
        <v>10</v>
      </c>
      <c r="K6" s="293">
        <v>17</v>
      </c>
      <c r="L6" s="293"/>
      <c r="M6" s="293"/>
      <c r="N6" s="293"/>
      <c r="O6" s="293"/>
      <c r="P6" s="293"/>
      <c r="Q6" s="293"/>
      <c r="R6" s="293"/>
      <c r="S6" s="293"/>
      <c r="T6" s="229"/>
      <c r="U6" s="229"/>
    </row>
    <row r="7" spans="1:21" x14ac:dyDescent="0.25">
      <c r="A7" t="s">
        <v>18</v>
      </c>
      <c r="B7" s="177" t="str">
        <f>""&amp;HLOOKUP($B$1,$C$2:$AA$99,ROW(A7)-ROW($A$1),0)</f>
        <v>19</v>
      </c>
      <c r="C7" s="210">
        <v>17</v>
      </c>
      <c r="D7" s="293">
        <v>15</v>
      </c>
      <c r="E7" s="293">
        <v>17</v>
      </c>
      <c r="F7" s="293">
        <v>17</v>
      </c>
      <c r="G7" s="293">
        <v>19</v>
      </c>
      <c r="H7" s="293">
        <v>12</v>
      </c>
      <c r="I7" s="293">
        <v>17</v>
      </c>
      <c r="J7" s="293">
        <v>15</v>
      </c>
      <c r="K7" s="293">
        <v>15</v>
      </c>
      <c r="L7" s="293"/>
      <c r="M7" s="293"/>
      <c r="N7" s="293"/>
      <c r="O7" s="293"/>
      <c r="P7" s="293"/>
      <c r="Q7" s="293"/>
      <c r="R7" s="293"/>
      <c r="S7" s="293"/>
      <c r="T7" s="229"/>
      <c r="U7" s="229"/>
    </row>
    <row r="8" spans="1:21" x14ac:dyDescent="0.25">
      <c r="A8" t="s">
        <v>19</v>
      </c>
      <c r="B8" s="177" t="str">
        <f>""&amp;HLOOKUP($B$1,$C$2:$AA$99,ROW(A8)-ROW($A$1),0)</f>
        <v>15</v>
      </c>
      <c r="C8" s="210">
        <v>13</v>
      </c>
      <c r="D8" s="293">
        <v>17</v>
      </c>
      <c r="E8" s="293">
        <v>13</v>
      </c>
      <c r="F8" s="293">
        <v>11</v>
      </c>
      <c r="G8" s="293">
        <v>15</v>
      </c>
      <c r="H8" s="293">
        <v>17</v>
      </c>
      <c r="I8" s="293">
        <v>10</v>
      </c>
      <c r="J8" s="293">
        <v>12</v>
      </c>
      <c r="K8" s="293">
        <v>17</v>
      </c>
      <c r="L8" s="293"/>
      <c r="M8" s="293"/>
      <c r="N8" s="293"/>
      <c r="O8" s="293"/>
      <c r="P8" s="293"/>
      <c r="Q8" s="293"/>
      <c r="R8" s="293"/>
      <c r="S8" s="293"/>
      <c r="T8" s="229"/>
      <c r="U8" s="229"/>
    </row>
    <row r="9" spans="1:21" s="297" customFormat="1" x14ac:dyDescent="0.25">
      <c r="A9" s="297" t="s">
        <v>30</v>
      </c>
      <c r="B9" s="298" t="str">
        <f>""&amp;HLOOKUP($B$1,$C$2:$AA$99,ROW(A9)-ROW($A$1),0)</f>
        <v/>
      </c>
      <c r="C9" s="296"/>
      <c r="D9" s="294"/>
      <c r="E9" s="294"/>
      <c r="F9" s="294"/>
      <c r="G9" s="294"/>
      <c r="H9" s="294"/>
      <c r="I9" s="294"/>
      <c r="J9" s="294"/>
      <c r="K9" s="294"/>
      <c r="L9" s="294"/>
      <c r="M9" s="294"/>
      <c r="N9" s="294"/>
      <c r="O9" s="294"/>
      <c r="P9" s="294"/>
      <c r="Q9" s="294"/>
      <c r="R9" s="294"/>
      <c r="S9" s="294"/>
      <c r="T9" s="295"/>
      <c r="U9" s="295"/>
    </row>
    <row r="10" spans="1:21" s="246" customFormat="1" x14ac:dyDescent="0.25">
      <c r="A10" s="246" t="s">
        <v>70</v>
      </c>
      <c r="B10" s="177" t="str">
        <f>""&amp;HLOOKUP($B$1,$C$2:$AA$99,ROW(A10)-ROW($A$1),0)</f>
        <v>-</v>
      </c>
      <c r="C10" s="210" t="s">
        <v>103</v>
      </c>
      <c r="D10" s="293" t="s">
        <v>416</v>
      </c>
      <c r="E10" s="293" t="s">
        <v>405</v>
      </c>
      <c r="F10" s="293" t="s">
        <v>405</v>
      </c>
      <c r="G10" s="293" t="s">
        <v>103</v>
      </c>
      <c r="H10" s="293" t="s">
        <v>423</v>
      </c>
      <c r="I10" s="293" t="s">
        <v>416</v>
      </c>
      <c r="J10" s="293" t="s">
        <v>416</v>
      </c>
      <c r="K10" s="293" t="s">
        <v>429</v>
      </c>
      <c r="L10" s="293"/>
      <c r="M10" s="293"/>
      <c r="N10" s="293"/>
      <c r="O10" s="293"/>
      <c r="P10" s="293"/>
      <c r="Q10" s="293"/>
      <c r="R10" s="293"/>
      <c r="S10" s="293"/>
      <c r="T10" s="229"/>
      <c r="U10" s="229"/>
    </row>
    <row r="11" spans="1:21" x14ac:dyDescent="0.25">
      <c r="A11" t="s">
        <v>378</v>
      </c>
      <c r="B11" s="177" t="str">
        <f>""&amp;HLOOKUP($B$1,$C$2:$AA$99,ROW(A11)-ROW($A$1),0)</f>
        <v>15</v>
      </c>
      <c r="C11" s="210">
        <v>12</v>
      </c>
      <c r="D11" s="293">
        <f>12*1.5</f>
        <v>18</v>
      </c>
      <c r="E11" s="293">
        <v>6</v>
      </c>
      <c r="F11" s="293">
        <v>6</v>
      </c>
      <c r="G11" s="293">
        <v>15</v>
      </c>
      <c r="H11" s="293">
        <v>9</v>
      </c>
      <c r="I11" s="293">
        <v>18</v>
      </c>
      <c r="J11" s="293">
        <v>24</v>
      </c>
      <c r="K11" s="293">
        <v>9</v>
      </c>
      <c r="L11" s="293"/>
      <c r="M11" s="293"/>
      <c r="N11" s="293"/>
      <c r="O11" s="293"/>
      <c r="P11" s="293"/>
      <c r="Q11" s="293"/>
      <c r="R11" s="293"/>
      <c r="S11" s="293"/>
      <c r="T11" s="229"/>
      <c r="U11" s="229"/>
    </row>
    <row r="12" spans="1:21" s="246" customFormat="1" x14ac:dyDescent="0.25">
      <c r="A12" s="257" t="s">
        <v>166</v>
      </c>
      <c r="B12" s="177" t="str">
        <f>""&amp;HLOOKUP($B$1,$C$2:$AA$99,ROW(A12)-ROW($A$1),0)</f>
        <v>M</v>
      </c>
      <c r="C12" s="210" t="s">
        <v>242</v>
      </c>
      <c r="D12" s="210" t="s">
        <v>242</v>
      </c>
      <c r="E12" s="210" t="s">
        <v>120</v>
      </c>
      <c r="F12" s="210" t="s">
        <v>120</v>
      </c>
      <c r="G12" s="210" t="s">
        <v>120</v>
      </c>
      <c r="H12" s="210" t="s">
        <v>120</v>
      </c>
      <c r="I12" s="210" t="s">
        <v>425</v>
      </c>
      <c r="J12" s="210" t="s">
        <v>242</v>
      </c>
      <c r="K12" s="210" t="s">
        <v>120</v>
      </c>
      <c r="L12" s="210"/>
      <c r="M12" s="210"/>
      <c r="N12" s="210"/>
      <c r="O12" s="210"/>
      <c r="P12" s="210"/>
      <c r="Q12" s="210"/>
      <c r="R12" s="210"/>
      <c r="S12" s="210"/>
      <c r="T12" s="210"/>
      <c r="U12" s="210"/>
    </row>
    <row r="13" spans="1:21" s="36" customFormat="1" x14ac:dyDescent="0.25">
      <c r="A13" s="36" t="s">
        <v>386</v>
      </c>
      <c r="B13" s="299" t="str">
        <f>""&amp;HLOOKUP($B$1,$C$2:$AA$99,ROW(A13)-ROW($A$1),0)</f>
        <v>1</v>
      </c>
      <c r="C13" s="220">
        <v>1</v>
      </c>
      <c r="D13" s="300">
        <v>2</v>
      </c>
      <c r="E13" s="300">
        <v>2</v>
      </c>
      <c r="F13" s="300">
        <v>3</v>
      </c>
      <c r="G13" s="300">
        <v>1</v>
      </c>
      <c r="H13" s="300">
        <v>4</v>
      </c>
      <c r="I13" s="300">
        <v>2</v>
      </c>
      <c r="J13" s="300">
        <v>1</v>
      </c>
      <c r="K13" s="300">
        <v>3</v>
      </c>
      <c r="L13" s="300"/>
      <c r="M13" s="300"/>
      <c r="N13" s="300"/>
      <c r="O13" s="300"/>
      <c r="P13" s="300"/>
      <c r="Q13" s="300"/>
      <c r="R13" s="300"/>
      <c r="S13" s="300"/>
      <c r="T13" s="235"/>
      <c r="U13" s="235"/>
    </row>
    <row r="14" spans="1:21" s="297" customFormat="1" x14ac:dyDescent="0.25">
      <c r="A14" s="297" t="s">
        <v>113</v>
      </c>
      <c r="B14" s="298" t="str">
        <f>""&amp;HLOOKUP($B$1,$C$2:$AA$99,ROW(A14)-ROW($A$1),0)</f>
        <v/>
      </c>
      <c r="C14" s="296"/>
      <c r="D14" s="294"/>
      <c r="E14" s="294"/>
      <c r="F14" s="294"/>
      <c r="G14" s="294"/>
      <c r="H14" s="294"/>
      <c r="I14" s="294"/>
      <c r="J14" s="294"/>
      <c r="K14" s="294"/>
      <c r="L14" s="294"/>
      <c r="M14" s="294"/>
      <c r="N14" s="294"/>
      <c r="O14" s="294"/>
      <c r="P14" s="294"/>
      <c r="Q14" s="294"/>
      <c r="R14" s="294"/>
      <c r="S14" s="294"/>
      <c r="T14" s="295"/>
      <c r="U14" s="295"/>
    </row>
    <row r="15" spans="1:21" x14ac:dyDescent="0.25">
      <c r="A15" s="249" t="s">
        <v>143</v>
      </c>
      <c r="B15" s="177" t="str">
        <f>""&amp;HLOOKUP($B$1,$C$2:$AA$99,ROW(A15)-ROW($A$1),0)</f>
        <v>0</v>
      </c>
      <c r="C15" s="210">
        <v>0</v>
      </c>
      <c r="D15" s="293">
        <v>0</v>
      </c>
      <c r="E15" s="293">
        <v>0</v>
      </c>
      <c r="F15" s="293">
        <v>0</v>
      </c>
      <c r="G15" s="293">
        <v>0</v>
      </c>
      <c r="H15" s="293">
        <v>0</v>
      </c>
      <c r="I15" s="293">
        <v>0</v>
      </c>
      <c r="J15" s="293">
        <v>0</v>
      </c>
      <c r="K15" s="293">
        <v>0</v>
      </c>
      <c r="L15" s="293">
        <v>0</v>
      </c>
      <c r="M15" s="293">
        <v>0</v>
      </c>
      <c r="N15" s="293">
        <v>0</v>
      </c>
      <c r="O15" s="293">
        <v>0</v>
      </c>
      <c r="P15" s="293">
        <v>0</v>
      </c>
      <c r="Q15" s="293">
        <v>0</v>
      </c>
      <c r="R15" s="293">
        <v>0</v>
      </c>
      <c r="S15" s="293">
        <v>0</v>
      </c>
      <c r="T15" s="293">
        <v>0</v>
      </c>
      <c r="U15" s="293">
        <v>0</v>
      </c>
    </row>
    <row r="16" spans="1:21" x14ac:dyDescent="0.25">
      <c r="A16" s="249" t="s">
        <v>46</v>
      </c>
      <c r="B16" s="177" t="str">
        <f>""&amp;HLOOKUP($B$1,$C$2:$AA$99,ROW(A16)-ROW($A$1),0)</f>
        <v>0</v>
      </c>
      <c r="C16" s="210">
        <v>0</v>
      </c>
      <c r="D16" s="293">
        <v>0</v>
      </c>
      <c r="E16" s="293">
        <v>0</v>
      </c>
      <c r="F16" s="293">
        <v>0</v>
      </c>
      <c r="G16" s="293">
        <v>0</v>
      </c>
      <c r="H16" s="293">
        <v>0</v>
      </c>
      <c r="I16" s="293">
        <v>0</v>
      </c>
      <c r="J16" s="293">
        <v>0</v>
      </c>
      <c r="K16" s="293">
        <v>0</v>
      </c>
      <c r="L16" s="293">
        <v>0</v>
      </c>
      <c r="M16" s="293">
        <v>0</v>
      </c>
      <c r="N16" s="293">
        <v>0</v>
      </c>
      <c r="O16" s="293">
        <v>0</v>
      </c>
      <c r="P16" s="293">
        <v>0</v>
      </c>
      <c r="Q16" s="293">
        <v>0</v>
      </c>
      <c r="R16" s="293">
        <v>0</v>
      </c>
      <c r="S16" s="293">
        <v>0</v>
      </c>
      <c r="T16" s="293">
        <v>0</v>
      </c>
      <c r="U16" s="293">
        <v>0</v>
      </c>
    </row>
    <row r="17" spans="1:21" x14ac:dyDescent="0.25">
      <c r="A17" s="249" t="s">
        <v>213</v>
      </c>
      <c r="B17" s="177" t="str">
        <f>""&amp;HLOOKUP($B$1,$C$2:$AA$99,ROW(A17)-ROW($A$1),0)</f>
        <v>0</v>
      </c>
      <c r="C17" s="210">
        <v>0</v>
      </c>
      <c r="D17" s="293">
        <v>0</v>
      </c>
      <c r="E17" s="293">
        <v>0</v>
      </c>
      <c r="F17" s="293">
        <v>0</v>
      </c>
      <c r="G17" s="293">
        <v>0</v>
      </c>
      <c r="H17" s="293">
        <v>0</v>
      </c>
      <c r="I17" s="293">
        <v>0</v>
      </c>
      <c r="J17" s="293">
        <v>0</v>
      </c>
      <c r="K17" s="293">
        <v>0</v>
      </c>
      <c r="L17" s="293">
        <v>0</v>
      </c>
      <c r="M17" s="293">
        <v>0</v>
      </c>
      <c r="N17" s="293">
        <v>0</v>
      </c>
      <c r="O17" s="293">
        <v>0</v>
      </c>
      <c r="P17" s="293">
        <v>0</v>
      </c>
      <c r="Q17" s="293">
        <v>0</v>
      </c>
      <c r="R17" s="293">
        <v>0</v>
      </c>
      <c r="S17" s="293">
        <v>0</v>
      </c>
      <c r="T17" s="293">
        <v>0</v>
      </c>
      <c r="U17" s="293">
        <v>0</v>
      </c>
    </row>
    <row r="18" spans="1:21" x14ac:dyDescent="0.25">
      <c r="A18" s="249" t="s">
        <v>82</v>
      </c>
      <c r="B18" s="177" t="str">
        <f>""&amp;HLOOKUP($B$1,$C$2:$AA$99,ROW(A18)-ROW($A$1),0)</f>
        <v>0</v>
      </c>
      <c r="C18" s="210">
        <v>0</v>
      </c>
      <c r="D18" s="293">
        <v>0</v>
      </c>
      <c r="E18" s="293">
        <v>0</v>
      </c>
      <c r="F18" s="293">
        <v>0</v>
      </c>
      <c r="G18" s="293">
        <v>0</v>
      </c>
      <c r="H18" s="293">
        <v>0</v>
      </c>
      <c r="I18" s="293">
        <v>0</v>
      </c>
      <c r="J18" s="293">
        <v>0</v>
      </c>
      <c r="K18" s="293">
        <v>0</v>
      </c>
      <c r="L18" s="293">
        <v>0</v>
      </c>
      <c r="M18" s="293">
        <v>0</v>
      </c>
      <c r="N18" s="293">
        <v>0</v>
      </c>
      <c r="O18" s="293">
        <v>0</v>
      </c>
      <c r="P18" s="293">
        <v>0</v>
      </c>
      <c r="Q18" s="293">
        <v>0</v>
      </c>
      <c r="R18" s="293">
        <v>0</v>
      </c>
      <c r="S18" s="293">
        <v>0</v>
      </c>
      <c r="T18" s="293">
        <v>0</v>
      </c>
      <c r="U18" s="293">
        <v>0</v>
      </c>
    </row>
    <row r="19" spans="1:21" x14ac:dyDescent="0.25">
      <c r="A19" s="249" t="s">
        <v>47</v>
      </c>
      <c r="B19" s="177" t="str">
        <f>""&amp;HLOOKUP($B$1,$C$2:$AA$99,ROW(A19)-ROW($A$1),0)</f>
        <v>0</v>
      </c>
      <c r="C19" s="210">
        <v>0</v>
      </c>
      <c r="D19" s="293">
        <v>0</v>
      </c>
      <c r="E19" s="293">
        <v>0</v>
      </c>
      <c r="F19" s="293">
        <v>0</v>
      </c>
      <c r="G19" s="293">
        <v>0</v>
      </c>
      <c r="H19" s="293">
        <v>0</v>
      </c>
      <c r="I19" s="293">
        <v>0</v>
      </c>
      <c r="J19" s="293">
        <v>0</v>
      </c>
      <c r="K19" s="293">
        <v>0</v>
      </c>
      <c r="L19" s="293">
        <v>0</v>
      </c>
      <c r="M19" s="293">
        <v>0</v>
      </c>
      <c r="N19" s="293">
        <v>0</v>
      </c>
      <c r="O19" s="293">
        <v>0</v>
      </c>
      <c r="P19" s="293">
        <v>0</v>
      </c>
      <c r="Q19" s="293">
        <v>0</v>
      </c>
      <c r="R19" s="293">
        <v>0</v>
      </c>
      <c r="S19" s="293">
        <v>0</v>
      </c>
      <c r="T19" s="293">
        <v>0</v>
      </c>
      <c r="U19" s="293">
        <v>0</v>
      </c>
    </row>
    <row r="20" spans="1:21" x14ac:dyDescent="0.25">
      <c r="A20" s="289" t="s">
        <v>144</v>
      </c>
      <c r="B20" s="177" t="str">
        <f>""&amp;HLOOKUP($B$1,$C$2:$AA$99,ROW(A20)-ROW($A$1),0)</f>
        <v>0</v>
      </c>
      <c r="C20" s="210">
        <v>0</v>
      </c>
      <c r="D20" s="293">
        <v>0</v>
      </c>
      <c r="E20" s="293">
        <v>0</v>
      </c>
      <c r="F20" s="293">
        <v>0</v>
      </c>
      <c r="G20" s="293">
        <v>0</v>
      </c>
      <c r="H20" s="293">
        <v>0</v>
      </c>
      <c r="I20" s="293">
        <v>0</v>
      </c>
      <c r="J20" s="293">
        <v>0</v>
      </c>
      <c r="K20" s="293">
        <v>0</v>
      </c>
      <c r="L20" s="293">
        <v>0</v>
      </c>
      <c r="M20" s="293">
        <v>0</v>
      </c>
      <c r="N20" s="293">
        <v>0</v>
      </c>
      <c r="O20" s="293">
        <v>0</v>
      </c>
      <c r="P20" s="293">
        <v>0</v>
      </c>
      <c r="Q20" s="293">
        <v>0</v>
      </c>
      <c r="R20" s="293">
        <v>0</v>
      </c>
      <c r="S20" s="293">
        <v>0</v>
      </c>
      <c r="T20" s="293">
        <v>0</v>
      </c>
      <c r="U20" s="293">
        <v>0</v>
      </c>
    </row>
    <row r="21" spans="1:21" x14ac:dyDescent="0.25">
      <c r="A21" s="185" t="s">
        <v>145</v>
      </c>
      <c r="B21" s="177" t="str">
        <f>""&amp;HLOOKUP($B$1,$C$2:$AA$99,ROW(A21)-ROW($A$1),0)</f>
        <v>0</v>
      </c>
      <c r="C21" s="210">
        <v>0</v>
      </c>
      <c r="D21" s="293">
        <v>0</v>
      </c>
      <c r="E21" s="293">
        <v>0</v>
      </c>
      <c r="F21" s="293">
        <v>0</v>
      </c>
      <c r="G21" s="293">
        <v>0</v>
      </c>
      <c r="H21" s="293">
        <v>0</v>
      </c>
      <c r="I21" s="293">
        <v>0</v>
      </c>
      <c r="J21" s="293">
        <v>0</v>
      </c>
      <c r="K21" s="293">
        <v>0</v>
      </c>
      <c r="L21" s="293">
        <v>0</v>
      </c>
      <c r="M21" s="293">
        <v>0</v>
      </c>
      <c r="N21" s="293">
        <v>0</v>
      </c>
      <c r="O21" s="293">
        <v>0</v>
      </c>
      <c r="P21" s="293">
        <v>0</v>
      </c>
      <c r="Q21" s="293">
        <v>0</v>
      </c>
      <c r="R21" s="293">
        <v>0</v>
      </c>
      <c r="S21" s="293">
        <v>0</v>
      </c>
      <c r="T21" s="293">
        <v>0</v>
      </c>
      <c r="U21" s="293">
        <v>0</v>
      </c>
    </row>
    <row r="22" spans="1:21" x14ac:dyDescent="0.25">
      <c r="A22" s="185" t="s">
        <v>146</v>
      </c>
      <c r="B22" s="177" t="str">
        <f>""&amp;HLOOKUP($B$1,$C$2:$AA$99,ROW(A22)-ROW($A$1),0)</f>
        <v>0</v>
      </c>
      <c r="C22" s="210">
        <v>0</v>
      </c>
      <c r="D22" s="293">
        <v>0</v>
      </c>
      <c r="E22" s="293">
        <v>0</v>
      </c>
      <c r="F22" s="293">
        <v>0</v>
      </c>
      <c r="G22" s="293">
        <v>0</v>
      </c>
      <c r="H22" s="293">
        <v>0</v>
      </c>
      <c r="I22" s="293">
        <v>0</v>
      </c>
      <c r="J22" s="293">
        <v>0</v>
      </c>
      <c r="K22" s="293">
        <v>0</v>
      </c>
      <c r="L22" s="293">
        <v>0</v>
      </c>
      <c r="M22" s="293">
        <v>0</v>
      </c>
      <c r="N22" s="293">
        <v>0</v>
      </c>
      <c r="O22" s="293">
        <v>0</v>
      </c>
      <c r="P22" s="293">
        <v>0</v>
      </c>
      <c r="Q22" s="293">
        <v>0</v>
      </c>
      <c r="R22" s="293">
        <v>0</v>
      </c>
      <c r="S22" s="293">
        <v>0</v>
      </c>
      <c r="T22" s="293">
        <v>0</v>
      </c>
      <c r="U22" s="293">
        <v>0</v>
      </c>
    </row>
    <row r="23" spans="1:21" x14ac:dyDescent="0.25">
      <c r="A23" s="185" t="s">
        <v>147</v>
      </c>
      <c r="B23" s="177" t="str">
        <f>""&amp;HLOOKUP($B$1,$C$2:$AA$99,ROW(A23)-ROW($A$1),0)</f>
        <v>0</v>
      </c>
      <c r="C23" s="210">
        <v>0</v>
      </c>
      <c r="D23" s="293">
        <v>0</v>
      </c>
      <c r="E23" s="293">
        <v>0</v>
      </c>
      <c r="F23" s="293">
        <v>0</v>
      </c>
      <c r="G23" s="293">
        <v>0</v>
      </c>
      <c r="H23" s="293">
        <v>0</v>
      </c>
      <c r="I23" s="293">
        <v>0</v>
      </c>
      <c r="J23" s="293">
        <v>0</v>
      </c>
      <c r="K23" s="293">
        <v>0</v>
      </c>
      <c r="L23" s="293">
        <v>0</v>
      </c>
      <c r="M23" s="293">
        <v>0</v>
      </c>
      <c r="N23" s="293">
        <v>0</v>
      </c>
      <c r="O23" s="293">
        <v>0</v>
      </c>
      <c r="P23" s="293">
        <v>0</v>
      </c>
      <c r="Q23" s="293">
        <v>0</v>
      </c>
      <c r="R23" s="293">
        <v>0</v>
      </c>
      <c r="S23" s="293">
        <v>0</v>
      </c>
      <c r="T23" s="293">
        <v>0</v>
      </c>
      <c r="U23" s="293">
        <v>0</v>
      </c>
    </row>
    <row r="24" spans="1:21" x14ac:dyDescent="0.25">
      <c r="A24" s="185" t="s">
        <v>148</v>
      </c>
      <c r="B24" s="177" t="str">
        <f>""&amp;HLOOKUP($B$1,$C$2:$AA$99,ROW(A24)-ROW($A$1),0)</f>
        <v>0</v>
      </c>
      <c r="C24" s="210">
        <v>0</v>
      </c>
      <c r="D24" s="293">
        <v>0</v>
      </c>
      <c r="E24" s="293">
        <v>0</v>
      </c>
      <c r="F24" s="293">
        <v>0</v>
      </c>
      <c r="G24" s="293">
        <v>0</v>
      </c>
      <c r="H24" s="293">
        <v>0</v>
      </c>
      <c r="I24" s="293">
        <v>0</v>
      </c>
      <c r="J24" s="293">
        <v>0</v>
      </c>
      <c r="K24" s="293">
        <v>0</v>
      </c>
      <c r="L24" s="293">
        <v>0</v>
      </c>
      <c r="M24" s="293">
        <v>0</v>
      </c>
      <c r="N24" s="293">
        <v>0</v>
      </c>
      <c r="O24" s="293">
        <v>0</v>
      </c>
      <c r="P24" s="293">
        <v>0</v>
      </c>
      <c r="Q24" s="293">
        <v>0</v>
      </c>
      <c r="R24" s="293">
        <v>0</v>
      </c>
      <c r="S24" s="293">
        <v>0</v>
      </c>
      <c r="T24" s="293">
        <v>0</v>
      </c>
      <c r="U24" s="293">
        <v>0</v>
      </c>
    </row>
    <row r="25" spans="1:21" x14ac:dyDescent="0.25">
      <c r="A25" s="253" t="s">
        <v>142</v>
      </c>
      <c r="B25" s="177" t="str">
        <f>""&amp;HLOOKUP($B$1,$C$2:$AA$99,ROW(A25)-ROW($A$1),0)</f>
        <v>0</v>
      </c>
      <c r="C25" s="210">
        <v>0</v>
      </c>
      <c r="D25" s="293">
        <v>0</v>
      </c>
      <c r="E25" s="293">
        <v>0</v>
      </c>
      <c r="F25" s="293">
        <v>0</v>
      </c>
      <c r="G25" s="293">
        <v>0</v>
      </c>
      <c r="H25" s="293">
        <v>0</v>
      </c>
      <c r="I25" s="293">
        <v>0</v>
      </c>
      <c r="J25" s="293">
        <v>0</v>
      </c>
      <c r="K25" s="293">
        <v>0</v>
      </c>
      <c r="L25" s="293">
        <v>0</v>
      </c>
      <c r="M25" s="293">
        <v>0</v>
      </c>
      <c r="N25" s="293">
        <v>0</v>
      </c>
      <c r="O25" s="293">
        <v>0</v>
      </c>
      <c r="P25" s="293">
        <v>0</v>
      </c>
      <c r="Q25" s="293">
        <v>0</v>
      </c>
      <c r="R25" s="293">
        <v>0</v>
      </c>
      <c r="S25" s="293">
        <v>0</v>
      </c>
      <c r="T25" s="293">
        <v>0</v>
      </c>
      <c r="U25" s="293">
        <v>0</v>
      </c>
    </row>
    <row r="26" spans="1:21" x14ac:dyDescent="0.25">
      <c r="A26" s="253" t="s">
        <v>149</v>
      </c>
      <c r="B26" s="177" t="str">
        <f>""&amp;HLOOKUP($B$1,$C$2:$AA$99,ROW(A26)-ROW($A$1),0)</f>
        <v>0</v>
      </c>
      <c r="C26" s="210">
        <v>0</v>
      </c>
      <c r="D26" s="293">
        <v>0</v>
      </c>
      <c r="E26" s="293">
        <v>0</v>
      </c>
      <c r="F26" s="293">
        <v>0</v>
      </c>
      <c r="G26" s="293">
        <v>0</v>
      </c>
      <c r="H26" s="293">
        <v>0</v>
      </c>
      <c r="I26" s="293">
        <v>0</v>
      </c>
      <c r="J26" s="293">
        <v>0</v>
      </c>
      <c r="K26" s="293">
        <v>0</v>
      </c>
      <c r="L26" s="293">
        <v>0</v>
      </c>
      <c r="M26" s="293">
        <v>0</v>
      </c>
      <c r="N26" s="293">
        <v>0</v>
      </c>
      <c r="O26" s="293">
        <v>0</v>
      </c>
      <c r="P26" s="293">
        <v>0</v>
      </c>
      <c r="Q26" s="293">
        <v>0</v>
      </c>
      <c r="R26" s="293">
        <v>0</v>
      </c>
      <c r="S26" s="293">
        <v>0</v>
      </c>
      <c r="T26" s="293">
        <v>0</v>
      </c>
      <c r="U26" s="293">
        <v>0</v>
      </c>
    </row>
    <row r="27" spans="1:21" x14ac:dyDescent="0.25">
      <c r="A27" s="253" t="s">
        <v>150</v>
      </c>
      <c r="B27" s="177" t="str">
        <f>""&amp;HLOOKUP($B$1,$C$2:$AA$99,ROW(A27)-ROW($A$1),0)</f>
        <v>0</v>
      </c>
      <c r="C27" s="210">
        <v>0</v>
      </c>
      <c r="D27" s="293">
        <v>0</v>
      </c>
      <c r="E27" s="293">
        <v>0</v>
      </c>
      <c r="F27" s="293">
        <v>0</v>
      </c>
      <c r="G27" s="293">
        <v>0</v>
      </c>
      <c r="H27" s="293">
        <v>0</v>
      </c>
      <c r="I27" s="293">
        <v>0</v>
      </c>
      <c r="J27" s="293">
        <v>0</v>
      </c>
      <c r="K27" s="293">
        <v>0</v>
      </c>
      <c r="L27" s="293">
        <v>0</v>
      </c>
      <c r="M27" s="293">
        <v>0</v>
      </c>
      <c r="N27" s="293">
        <v>0</v>
      </c>
      <c r="O27" s="293">
        <v>0</v>
      </c>
      <c r="P27" s="293">
        <v>0</v>
      </c>
      <c r="Q27" s="293">
        <v>0</v>
      </c>
      <c r="R27" s="293">
        <v>0</v>
      </c>
      <c r="S27" s="293">
        <v>0</v>
      </c>
      <c r="T27" s="293">
        <v>0</v>
      </c>
      <c r="U27" s="293">
        <v>0</v>
      </c>
    </row>
    <row r="28" spans="1:21" x14ac:dyDescent="0.25">
      <c r="A28" s="253" t="s">
        <v>151</v>
      </c>
      <c r="B28" s="177" t="str">
        <f>""&amp;HLOOKUP($B$1,$C$2:$AA$99,ROW(A28)-ROW($A$1),0)</f>
        <v>0</v>
      </c>
      <c r="C28" s="210">
        <v>0</v>
      </c>
      <c r="D28" s="293">
        <v>0</v>
      </c>
      <c r="E28" s="293">
        <v>0</v>
      </c>
      <c r="F28" s="293">
        <v>0</v>
      </c>
      <c r="G28" s="293">
        <v>0</v>
      </c>
      <c r="H28" s="293">
        <v>0</v>
      </c>
      <c r="I28" s="293">
        <v>0</v>
      </c>
      <c r="J28" s="293">
        <v>0</v>
      </c>
      <c r="K28" s="293">
        <v>0</v>
      </c>
      <c r="L28" s="293">
        <v>0</v>
      </c>
      <c r="M28" s="293">
        <v>0</v>
      </c>
      <c r="N28" s="293">
        <v>0</v>
      </c>
      <c r="O28" s="293">
        <v>0</v>
      </c>
      <c r="P28" s="293">
        <v>0</v>
      </c>
      <c r="Q28" s="293">
        <v>0</v>
      </c>
      <c r="R28" s="293">
        <v>0</v>
      </c>
      <c r="S28" s="293">
        <v>0</v>
      </c>
      <c r="T28" s="293">
        <v>0</v>
      </c>
      <c r="U28" s="293">
        <v>0</v>
      </c>
    </row>
    <row r="29" spans="1:21" x14ac:dyDescent="0.25">
      <c r="A29" s="253" t="s">
        <v>152</v>
      </c>
      <c r="B29" s="177" t="str">
        <f>""&amp;HLOOKUP($B$1,$C$2:$AA$99,ROW(A29)-ROW($A$1),0)</f>
        <v>0</v>
      </c>
      <c r="C29" s="210">
        <v>0</v>
      </c>
      <c r="D29" s="293">
        <v>0</v>
      </c>
      <c r="E29" s="293">
        <v>0</v>
      </c>
      <c r="F29" s="293">
        <v>0</v>
      </c>
      <c r="G29" s="293">
        <v>0</v>
      </c>
      <c r="H29" s="293">
        <v>0</v>
      </c>
      <c r="I29" s="293">
        <v>0</v>
      </c>
      <c r="J29" s="293">
        <v>0</v>
      </c>
      <c r="K29" s="293">
        <v>0</v>
      </c>
      <c r="L29" s="293">
        <v>0</v>
      </c>
      <c r="M29" s="293">
        <v>0</v>
      </c>
      <c r="N29" s="293">
        <v>0</v>
      </c>
      <c r="O29" s="293">
        <v>0</v>
      </c>
      <c r="P29" s="293">
        <v>0</v>
      </c>
      <c r="Q29" s="293">
        <v>0</v>
      </c>
      <c r="R29" s="293">
        <v>0</v>
      </c>
      <c r="S29" s="293">
        <v>0</v>
      </c>
      <c r="T29" s="293">
        <v>0</v>
      </c>
      <c r="U29" s="293">
        <v>0</v>
      </c>
    </row>
    <row r="30" spans="1:21" x14ac:dyDescent="0.25">
      <c r="A30" s="253" t="s">
        <v>83</v>
      </c>
      <c r="B30" s="177" t="str">
        <f>""&amp;HLOOKUP($B$1,$C$2:$AA$99,ROW(A30)-ROW($A$1),0)</f>
        <v>0</v>
      </c>
      <c r="C30" s="210">
        <v>0</v>
      </c>
      <c r="D30" s="293">
        <v>0</v>
      </c>
      <c r="E30" s="293">
        <v>0</v>
      </c>
      <c r="F30" s="293">
        <v>0</v>
      </c>
      <c r="G30" s="293">
        <v>0</v>
      </c>
      <c r="H30" s="293">
        <v>0</v>
      </c>
      <c r="I30" s="293">
        <v>0</v>
      </c>
      <c r="J30" s="293">
        <v>0</v>
      </c>
      <c r="K30" s="293">
        <v>0</v>
      </c>
      <c r="L30" s="293">
        <v>0</v>
      </c>
      <c r="M30" s="293">
        <v>0</v>
      </c>
      <c r="N30" s="293">
        <v>0</v>
      </c>
      <c r="O30" s="293">
        <v>0</v>
      </c>
      <c r="P30" s="293">
        <v>0</v>
      </c>
      <c r="Q30" s="293">
        <v>0</v>
      </c>
      <c r="R30" s="293">
        <v>0</v>
      </c>
      <c r="S30" s="293">
        <v>0</v>
      </c>
      <c r="T30" s="293">
        <v>0</v>
      </c>
      <c r="U30" s="293">
        <v>0</v>
      </c>
    </row>
    <row r="31" spans="1:21" x14ac:dyDescent="0.25">
      <c r="A31" s="253" t="s">
        <v>84</v>
      </c>
      <c r="B31" s="177" t="str">
        <f>""&amp;HLOOKUP($B$1,$C$2:$AA$99,ROW(A31)-ROW($A$1),0)</f>
        <v>0</v>
      </c>
      <c r="C31" s="210">
        <v>0</v>
      </c>
      <c r="D31" s="293">
        <v>0</v>
      </c>
      <c r="E31" s="293">
        <v>0</v>
      </c>
      <c r="F31" s="293">
        <v>0</v>
      </c>
      <c r="G31" s="293">
        <v>0</v>
      </c>
      <c r="H31" s="293">
        <v>0</v>
      </c>
      <c r="I31" s="293">
        <v>0</v>
      </c>
      <c r="J31" s="293">
        <v>0</v>
      </c>
      <c r="K31" s="293">
        <v>0</v>
      </c>
      <c r="L31" s="293">
        <v>0</v>
      </c>
      <c r="M31" s="293">
        <v>0</v>
      </c>
      <c r="N31" s="293">
        <v>0</v>
      </c>
      <c r="O31" s="293">
        <v>0</v>
      </c>
      <c r="P31" s="293">
        <v>0</v>
      </c>
      <c r="Q31" s="293">
        <v>0</v>
      </c>
      <c r="R31" s="293">
        <v>0</v>
      </c>
      <c r="S31" s="293">
        <v>0</v>
      </c>
      <c r="T31" s="293">
        <v>0</v>
      </c>
      <c r="U31" s="293">
        <v>0</v>
      </c>
    </row>
    <row r="32" spans="1:21" x14ac:dyDescent="0.25">
      <c r="A32" s="253" t="s">
        <v>79</v>
      </c>
      <c r="B32" s="177" t="str">
        <f>""&amp;HLOOKUP($B$1,$C$2:$AA$99,ROW(A32)-ROW($A$1),0)</f>
        <v>0</v>
      </c>
      <c r="C32" s="210">
        <v>0</v>
      </c>
      <c r="D32" s="293">
        <v>0</v>
      </c>
      <c r="E32" s="293">
        <v>0</v>
      </c>
      <c r="F32" s="293">
        <v>0</v>
      </c>
      <c r="G32" s="293">
        <v>0</v>
      </c>
      <c r="H32" s="293">
        <v>0</v>
      </c>
      <c r="I32" s="293">
        <v>0</v>
      </c>
      <c r="J32" s="293">
        <v>0</v>
      </c>
      <c r="K32" s="293">
        <v>0</v>
      </c>
      <c r="L32" s="293">
        <v>0</v>
      </c>
      <c r="M32" s="293">
        <v>0</v>
      </c>
      <c r="N32" s="293">
        <v>0</v>
      </c>
      <c r="O32" s="293">
        <v>0</v>
      </c>
      <c r="P32" s="293">
        <v>0</v>
      </c>
      <c r="Q32" s="293">
        <v>0</v>
      </c>
      <c r="R32" s="293">
        <v>0</v>
      </c>
      <c r="S32" s="293">
        <v>0</v>
      </c>
      <c r="T32" s="293">
        <v>0</v>
      </c>
      <c r="U32" s="293">
        <v>0</v>
      </c>
    </row>
    <row r="33" spans="1:21" x14ac:dyDescent="0.25">
      <c r="A33" s="253" t="s">
        <v>85</v>
      </c>
      <c r="B33" s="177" t="str">
        <f>""&amp;HLOOKUP($B$1,$C$2:$AA$99,ROW(A33)-ROW($A$1),0)</f>
        <v>0</v>
      </c>
      <c r="C33" s="210">
        <v>0</v>
      </c>
      <c r="D33" s="293">
        <v>0</v>
      </c>
      <c r="E33" s="293">
        <v>0</v>
      </c>
      <c r="F33" s="293">
        <v>0</v>
      </c>
      <c r="G33" s="293">
        <v>0</v>
      </c>
      <c r="H33" s="293">
        <v>0</v>
      </c>
      <c r="I33" s="293">
        <v>0</v>
      </c>
      <c r="J33" s="293">
        <v>0</v>
      </c>
      <c r="K33" s="293">
        <v>0</v>
      </c>
      <c r="L33" s="293">
        <v>0</v>
      </c>
      <c r="M33" s="293">
        <v>0</v>
      </c>
      <c r="N33" s="293">
        <v>0</v>
      </c>
      <c r="O33" s="293">
        <v>0</v>
      </c>
      <c r="P33" s="293">
        <v>0</v>
      </c>
      <c r="Q33" s="293">
        <v>0</v>
      </c>
      <c r="R33" s="293">
        <v>0</v>
      </c>
      <c r="S33" s="293">
        <v>0</v>
      </c>
      <c r="T33" s="293">
        <v>0</v>
      </c>
      <c r="U33" s="293">
        <v>0</v>
      </c>
    </row>
    <row r="34" spans="1:21" x14ac:dyDescent="0.25">
      <c r="A34" s="253" t="s">
        <v>86</v>
      </c>
      <c r="B34" s="177" t="str">
        <f>""&amp;HLOOKUP($B$1,$C$2:$AA$99,ROW(A34)-ROW($A$1),0)</f>
        <v>0</v>
      </c>
      <c r="C34" s="210">
        <v>4</v>
      </c>
      <c r="D34" s="293">
        <v>0</v>
      </c>
      <c r="E34" s="293">
        <v>0</v>
      </c>
      <c r="F34" s="293">
        <v>0</v>
      </c>
      <c r="G34" s="293">
        <v>0</v>
      </c>
      <c r="H34" s="293">
        <v>0</v>
      </c>
      <c r="I34" s="293">
        <v>0</v>
      </c>
      <c r="J34" s="293">
        <v>0</v>
      </c>
      <c r="K34" s="293">
        <v>4</v>
      </c>
      <c r="L34" s="293">
        <v>0</v>
      </c>
      <c r="M34" s="293">
        <v>0</v>
      </c>
      <c r="N34" s="293">
        <v>0</v>
      </c>
      <c r="O34" s="293">
        <v>0</v>
      </c>
      <c r="P34" s="293">
        <v>0</v>
      </c>
      <c r="Q34" s="293">
        <v>0</v>
      </c>
      <c r="R34" s="293">
        <v>0</v>
      </c>
      <c r="S34" s="293">
        <v>0</v>
      </c>
      <c r="T34" s="293">
        <v>0</v>
      </c>
      <c r="U34" s="293">
        <v>0</v>
      </c>
    </row>
    <row r="35" spans="1:21" x14ac:dyDescent="0.25">
      <c r="A35" s="253" t="s">
        <v>153</v>
      </c>
      <c r="B35" s="177" t="str">
        <f>""&amp;HLOOKUP($B$1,$C$2:$AA$99,ROW(A35)-ROW($A$1),0)</f>
        <v>0</v>
      </c>
      <c r="C35" s="210">
        <v>0</v>
      </c>
      <c r="D35" s="293">
        <v>0</v>
      </c>
      <c r="E35" s="293">
        <v>0</v>
      </c>
      <c r="F35" s="293">
        <v>0</v>
      </c>
      <c r="G35" s="293">
        <v>0</v>
      </c>
      <c r="H35" s="293">
        <v>0</v>
      </c>
      <c r="I35" s="293">
        <v>0</v>
      </c>
      <c r="J35" s="293">
        <v>0</v>
      </c>
      <c r="K35" s="293">
        <v>0</v>
      </c>
      <c r="L35" s="293">
        <v>0</v>
      </c>
      <c r="M35" s="293">
        <v>0</v>
      </c>
      <c r="N35" s="293">
        <v>0</v>
      </c>
      <c r="O35" s="293">
        <v>0</v>
      </c>
      <c r="P35" s="293">
        <v>0</v>
      </c>
      <c r="Q35" s="293">
        <v>0</v>
      </c>
      <c r="R35" s="293">
        <v>0</v>
      </c>
      <c r="S35" s="293">
        <v>0</v>
      </c>
      <c r="T35" s="293">
        <v>0</v>
      </c>
      <c r="U35" s="293">
        <v>0</v>
      </c>
    </row>
    <row r="36" spans="1:21" x14ac:dyDescent="0.25">
      <c r="A36" s="253" t="s">
        <v>49</v>
      </c>
      <c r="B36" s="177" t="str">
        <f>""&amp;HLOOKUP($B$1,$C$2:$AA$99,ROW(A36)-ROW($A$1),0)</f>
        <v>0</v>
      </c>
      <c r="C36" s="210">
        <v>0</v>
      </c>
      <c r="D36" s="293">
        <v>4</v>
      </c>
      <c r="E36" s="293">
        <v>4</v>
      </c>
      <c r="F36" s="293">
        <v>4</v>
      </c>
      <c r="G36" s="293">
        <v>0</v>
      </c>
      <c r="H36" s="293">
        <v>0</v>
      </c>
      <c r="I36" s="293">
        <v>8</v>
      </c>
      <c r="J36" s="293">
        <v>8</v>
      </c>
      <c r="K36" s="293">
        <v>0</v>
      </c>
      <c r="L36" s="293">
        <v>0</v>
      </c>
      <c r="M36" s="293">
        <v>0</v>
      </c>
      <c r="N36" s="293">
        <v>0</v>
      </c>
      <c r="O36" s="293">
        <v>0</v>
      </c>
      <c r="P36" s="293">
        <v>0</v>
      </c>
      <c r="Q36" s="293">
        <v>0</v>
      </c>
      <c r="R36" s="293">
        <v>0</v>
      </c>
      <c r="S36" s="293">
        <v>0</v>
      </c>
      <c r="T36" s="293">
        <v>0</v>
      </c>
      <c r="U36" s="293">
        <v>0</v>
      </c>
    </row>
    <row r="37" spans="1:21" x14ac:dyDescent="0.25">
      <c r="A37" s="253" t="s">
        <v>87</v>
      </c>
      <c r="B37" s="177" t="str">
        <f>""&amp;HLOOKUP($B$1,$C$2:$AA$99,ROW(A37)-ROW($A$1),0)</f>
        <v>0</v>
      </c>
      <c r="C37" s="210">
        <v>0</v>
      </c>
      <c r="D37" s="293">
        <v>0</v>
      </c>
      <c r="E37" s="293">
        <v>0</v>
      </c>
      <c r="F37" s="293">
        <v>0</v>
      </c>
      <c r="G37" s="293">
        <v>0</v>
      </c>
      <c r="H37" s="293">
        <v>0</v>
      </c>
      <c r="I37" s="293">
        <v>0</v>
      </c>
      <c r="J37" s="293">
        <v>0</v>
      </c>
      <c r="K37" s="293">
        <v>0</v>
      </c>
      <c r="L37" s="293">
        <v>0</v>
      </c>
      <c r="M37" s="293">
        <v>0</v>
      </c>
      <c r="N37" s="293">
        <v>0</v>
      </c>
      <c r="O37" s="293">
        <v>0</v>
      </c>
      <c r="P37" s="293">
        <v>0</v>
      </c>
      <c r="Q37" s="293">
        <v>0</v>
      </c>
      <c r="R37" s="293">
        <v>0</v>
      </c>
      <c r="S37" s="293">
        <v>0</v>
      </c>
      <c r="T37" s="293">
        <v>0</v>
      </c>
      <c r="U37" s="293">
        <v>0</v>
      </c>
    </row>
    <row r="38" spans="1:21" x14ac:dyDescent="0.25">
      <c r="A38" s="253" t="s">
        <v>88</v>
      </c>
      <c r="B38" s="177" t="str">
        <f>""&amp;HLOOKUP($B$1,$C$2:$AA$99,ROW(A38)-ROW($A$1),0)</f>
        <v>0</v>
      </c>
      <c r="C38" s="210">
        <v>4</v>
      </c>
      <c r="D38" s="293">
        <v>0</v>
      </c>
      <c r="E38" s="293">
        <v>4</v>
      </c>
      <c r="F38" s="293">
        <v>4</v>
      </c>
      <c r="G38" s="293">
        <v>0</v>
      </c>
      <c r="H38" s="293">
        <v>0</v>
      </c>
      <c r="I38" s="293">
        <v>0</v>
      </c>
      <c r="J38" s="293">
        <v>0</v>
      </c>
      <c r="K38" s="293">
        <v>4</v>
      </c>
      <c r="L38" s="293">
        <v>0</v>
      </c>
      <c r="M38" s="293">
        <v>0</v>
      </c>
      <c r="N38" s="293">
        <v>0</v>
      </c>
      <c r="O38" s="293">
        <v>0</v>
      </c>
      <c r="P38" s="293">
        <v>0</v>
      </c>
      <c r="Q38" s="293">
        <v>0</v>
      </c>
      <c r="R38" s="293">
        <v>0</v>
      </c>
      <c r="S38" s="293">
        <v>0</v>
      </c>
      <c r="T38" s="293">
        <v>0</v>
      </c>
      <c r="U38" s="293">
        <v>0</v>
      </c>
    </row>
    <row r="39" spans="1:21" x14ac:dyDescent="0.25">
      <c r="A39" s="253" t="s">
        <v>154</v>
      </c>
      <c r="B39" s="177" t="str">
        <f>""&amp;HLOOKUP($B$1,$C$2:$AA$99,ROW(A39)-ROW($A$1),0)</f>
        <v>0</v>
      </c>
      <c r="C39" s="210">
        <v>0</v>
      </c>
      <c r="D39" s="293">
        <v>0</v>
      </c>
      <c r="E39" s="293">
        <v>0</v>
      </c>
      <c r="F39" s="293">
        <v>0</v>
      </c>
      <c r="G39" s="293">
        <v>0</v>
      </c>
      <c r="H39" s="293">
        <v>0</v>
      </c>
      <c r="I39" s="293">
        <v>0</v>
      </c>
      <c r="J39" s="293">
        <v>0</v>
      </c>
      <c r="K39" s="293">
        <v>0</v>
      </c>
      <c r="L39" s="293">
        <v>0</v>
      </c>
      <c r="M39" s="293">
        <v>0</v>
      </c>
      <c r="N39" s="293">
        <v>0</v>
      </c>
      <c r="O39" s="293">
        <v>0</v>
      </c>
      <c r="P39" s="293">
        <v>0</v>
      </c>
      <c r="Q39" s="293">
        <v>0</v>
      </c>
      <c r="R39" s="293">
        <v>0</v>
      </c>
      <c r="S39" s="293">
        <v>0</v>
      </c>
      <c r="T39" s="293">
        <v>0</v>
      </c>
      <c r="U39" s="293">
        <v>0</v>
      </c>
    </row>
    <row r="40" spans="1:21" x14ac:dyDescent="0.25">
      <c r="A40" s="253" t="s">
        <v>89</v>
      </c>
      <c r="B40" s="177" t="str">
        <f>""&amp;HLOOKUP($B$1,$C$2:$AA$99,ROW(A40)-ROW($A$1),0)</f>
        <v>0</v>
      </c>
      <c r="C40" s="210">
        <v>4</v>
      </c>
      <c r="D40" s="293">
        <v>0</v>
      </c>
      <c r="E40" s="293">
        <v>8</v>
      </c>
      <c r="F40" s="293">
        <v>8</v>
      </c>
      <c r="G40" s="293">
        <v>0</v>
      </c>
      <c r="H40" s="293">
        <v>0</v>
      </c>
      <c r="I40" s="293">
        <v>0</v>
      </c>
      <c r="J40" s="293">
        <v>0</v>
      </c>
      <c r="K40" s="293">
        <v>0</v>
      </c>
      <c r="L40" s="293">
        <v>0</v>
      </c>
      <c r="M40" s="293">
        <v>0</v>
      </c>
      <c r="N40" s="293">
        <v>0</v>
      </c>
      <c r="O40" s="293">
        <v>0</v>
      </c>
      <c r="P40" s="293">
        <v>0</v>
      </c>
      <c r="Q40" s="293">
        <v>0</v>
      </c>
      <c r="R40" s="293">
        <v>0</v>
      </c>
      <c r="S40" s="293">
        <v>0</v>
      </c>
      <c r="T40" s="293">
        <v>0</v>
      </c>
      <c r="U40" s="293">
        <v>0</v>
      </c>
    </row>
    <row r="41" spans="1:21" x14ac:dyDescent="0.25">
      <c r="A41" s="253" t="s">
        <v>104</v>
      </c>
      <c r="B41" s="177" t="str">
        <f>""&amp;HLOOKUP($B$1,$C$2:$AA$99,ROW(A41)-ROW($A$1),0)</f>
        <v>0</v>
      </c>
      <c r="C41" s="210">
        <v>0</v>
      </c>
      <c r="D41" s="293">
        <v>0</v>
      </c>
      <c r="E41" s="293">
        <v>0</v>
      </c>
      <c r="F41" s="293">
        <v>0</v>
      </c>
      <c r="G41" s="293">
        <v>0</v>
      </c>
      <c r="H41" s="293">
        <v>0</v>
      </c>
      <c r="I41" s="293">
        <v>0</v>
      </c>
      <c r="J41" s="293">
        <v>0</v>
      </c>
      <c r="K41" s="293">
        <v>0</v>
      </c>
      <c r="L41" s="293">
        <v>0</v>
      </c>
      <c r="M41" s="293">
        <v>0</v>
      </c>
      <c r="N41" s="293">
        <v>0</v>
      </c>
      <c r="O41" s="293">
        <v>0</v>
      </c>
      <c r="P41" s="293">
        <v>0</v>
      </c>
      <c r="Q41" s="293">
        <v>0</v>
      </c>
      <c r="R41" s="293">
        <v>0</v>
      </c>
      <c r="S41" s="293">
        <v>0</v>
      </c>
      <c r="T41" s="293">
        <v>0</v>
      </c>
      <c r="U41" s="293">
        <v>0</v>
      </c>
    </row>
    <row r="42" spans="1:21" x14ac:dyDescent="0.25">
      <c r="A42" s="253" t="s">
        <v>90</v>
      </c>
      <c r="B42" s="177" t="str">
        <f>""&amp;HLOOKUP($B$1,$C$2:$AA$99,ROW(A42)-ROW($A$1),0)</f>
        <v>0</v>
      </c>
      <c r="C42" s="210">
        <v>4</v>
      </c>
      <c r="D42" s="293">
        <v>0</v>
      </c>
      <c r="E42" s="293">
        <f>MAX(DEX,FOR)-FOR+8</f>
        <v>9</v>
      </c>
      <c r="F42" s="293">
        <f>MAX(DEX,FOR)-FOR+8</f>
        <v>9</v>
      </c>
      <c r="G42" s="293">
        <v>0</v>
      </c>
      <c r="H42" s="293">
        <v>0</v>
      </c>
      <c r="I42" s="293">
        <v>0</v>
      </c>
      <c r="J42" s="293">
        <v>0</v>
      </c>
      <c r="K42" s="293">
        <v>0</v>
      </c>
      <c r="L42" s="293">
        <v>0</v>
      </c>
      <c r="M42" s="293">
        <v>0</v>
      </c>
      <c r="N42" s="293">
        <v>0</v>
      </c>
      <c r="O42" s="293">
        <v>0</v>
      </c>
      <c r="P42" s="293">
        <v>0</v>
      </c>
      <c r="Q42" s="293">
        <v>0</v>
      </c>
      <c r="R42" s="293">
        <v>0</v>
      </c>
      <c r="S42" s="293">
        <v>0</v>
      </c>
      <c r="T42" s="293">
        <v>0</v>
      </c>
      <c r="U42" s="293">
        <v>0</v>
      </c>
    </row>
    <row r="43" spans="1:21" x14ac:dyDescent="0.25">
      <c r="A43" s="253" t="s">
        <v>91</v>
      </c>
      <c r="B43" s="177" t="str">
        <f>""&amp;HLOOKUP($B$1,$C$2:$AA$99,ROW(A43)-ROW($A$1),0)</f>
        <v>0</v>
      </c>
      <c r="C43" s="210">
        <v>0</v>
      </c>
      <c r="D43" s="293">
        <v>0</v>
      </c>
      <c r="E43" s="293">
        <v>0</v>
      </c>
      <c r="F43" s="293">
        <v>0</v>
      </c>
      <c r="G43" s="293">
        <v>0</v>
      </c>
      <c r="H43" s="293">
        <v>0</v>
      </c>
      <c r="I43" s="293">
        <v>0</v>
      </c>
      <c r="J43" s="293">
        <v>0</v>
      </c>
      <c r="K43" s="293">
        <v>0</v>
      </c>
      <c r="L43" s="293">
        <v>0</v>
      </c>
      <c r="M43" s="293">
        <v>0</v>
      </c>
      <c r="N43" s="293">
        <v>0</v>
      </c>
      <c r="O43" s="293">
        <v>0</v>
      </c>
      <c r="P43" s="293">
        <v>0</v>
      </c>
      <c r="Q43" s="293">
        <v>0</v>
      </c>
      <c r="R43" s="293">
        <v>0</v>
      </c>
      <c r="S43" s="293">
        <v>0</v>
      </c>
      <c r="T43" s="293">
        <v>0</v>
      </c>
      <c r="U43" s="293">
        <v>0</v>
      </c>
    </row>
    <row r="44" spans="1:21" x14ac:dyDescent="0.25">
      <c r="A44" s="253" t="s">
        <v>92</v>
      </c>
      <c r="B44" s="177" t="str">
        <f>""&amp;HLOOKUP($B$1,$C$2:$AA$99,ROW(A44)-ROW($A$1),0)</f>
        <v>0</v>
      </c>
      <c r="C44" s="210">
        <v>0</v>
      </c>
      <c r="D44" s="293">
        <v>0</v>
      </c>
      <c r="E44" s="293">
        <v>0</v>
      </c>
      <c r="F44" s="293">
        <v>0</v>
      </c>
      <c r="G44" s="293">
        <v>0</v>
      </c>
      <c r="H44" s="293">
        <v>0</v>
      </c>
      <c r="I44" s="293">
        <v>0</v>
      </c>
      <c r="J44" s="293">
        <v>0</v>
      </c>
      <c r="K44" s="293">
        <v>0</v>
      </c>
      <c r="L44" s="293">
        <v>0</v>
      </c>
      <c r="M44" s="293">
        <v>0</v>
      </c>
      <c r="N44" s="293">
        <v>0</v>
      </c>
      <c r="O44" s="293">
        <v>0</v>
      </c>
      <c r="P44" s="293">
        <v>0</v>
      </c>
      <c r="Q44" s="293">
        <v>0</v>
      </c>
      <c r="R44" s="293">
        <v>0</v>
      </c>
      <c r="S44" s="293">
        <v>0</v>
      </c>
      <c r="T44" s="293">
        <v>0</v>
      </c>
      <c r="U44" s="293">
        <v>0</v>
      </c>
    </row>
    <row r="45" spans="1:21" x14ac:dyDescent="0.25">
      <c r="A45" s="290" t="s">
        <v>93</v>
      </c>
      <c r="B45" s="177" t="str">
        <f>""&amp;HLOOKUP($B$1,$C$2:$AA$99,ROW(A45)-ROW($A$1),0)</f>
        <v>0</v>
      </c>
      <c r="C45" s="210">
        <v>0</v>
      </c>
      <c r="D45" s="293">
        <v>0</v>
      </c>
      <c r="E45" s="293">
        <v>0</v>
      </c>
      <c r="F45" s="293">
        <v>0</v>
      </c>
      <c r="G45" s="293">
        <v>0</v>
      </c>
      <c r="H45" s="293">
        <v>0</v>
      </c>
      <c r="I45" s="293">
        <v>0</v>
      </c>
      <c r="J45" s="293">
        <v>0</v>
      </c>
      <c r="K45" s="293">
        <v>0</v>
      </c>
      <c r="L45" s="293">
        <v>0</v>
      </c>
      <c r="M45" s="293">
        <v>0</v>
      </c>
      <c r="N45" s="293">
        <v>0</v>
      </c>
      <c r="O45" s="293">
        <v>0</v>
      </c>
      <c r="P45" s="293">
        <v>0</v>
      </c>
      <c r="Q45" s="293">
        <v>0</v>
      </c>
      <c r="R45" s="293">
        <v>0</v>
      </c>
      <c r="S45" s="293">
        <v>0</v>
      </c>
      <c r="T45" s="293">
        <v>0</v>
      </c>
      <c r="U45" s="293">
        <v>0</v>
      </c>
    </row>
    <row r="46" spans="1:21" x14ac:dyDescent="0.25">
      <c r="A46" s="290" t="s">
        <v>80</v>
      </c>
      <c r="B46" s="177" t="str">
        <f>""&amp;HLOOKUP($B$1,$C$2:$AA$99,ROW(A46)-ROW($A$1),0)</f>
        <v>0</v>
      </c>
      <c r="C46" s="210">
        <v>0</v>
      </c>
      <c r="D46" s="293">
        <v>0</v>
      </c>
      <c r="E46" s="293">
        <v>0</v>
      </c>
      <c r="F46" s="293">
        <v>0</v>
      </c>
      <c r="G46" s="293">
        <v>0</v>
      </c>
      <c r="H46" s="293">
        <v>0</v>
      </c>
      <c r="I46" s="293">
        <v>0</v>
      </c>
      <c r="J46" s="293">
        <v>0</v>
      </c>
      <c r="K46" s="293">
        <v>0</v>
      </c>
      <c r="L46" s="293">
        <v>0</v>
      </c>
      <c r="M46" s="293">
        <v>0</v>
      </c>
      <c r="N46" s="293">
        <v>0</v>
      </c>
      <c r="O46" s="293">
        <v>0</v>
      </c>
      <c r="P46" s="293">
        <v>0</v>
      </c>
      <c r="Q46" s="293">
        <v>0</v>
      </c>
      <c r="R46" s="293">
        <v>0</v>
      </c>
      <c r="S46" s="293">
        <v>0</v>
      </c>
      <c r="T46" s="293">
        <v>0</v>
      </c>
      <c r="U46" s="293">
        <v>0</v>
      </c>
    </row>
    <row r="47" spans="1:21" x14ac:dyDescent="0.25">
      <c r="A47" s="290" t="s">
        <v>94</v>
      </c>
      <c r="B47" s="177" t="str">
        <f>""&amp;HLOOKUP($B$1,$C$2:$AA$99,ROW(A47)-ROW($A$1),0)</f>
        <v>0</v>
      </c>
      <c r="C47" s="210">
        <v>0</v>
      </c>
      <c r="D47" s="293">
        <v>0</v>
      </c>
      <c r="E47" s="293">
        <v>0</v>
      </c>
      <c r="F47" s="293">
        <v>0</v>
      </c>
      <c r="G47" s="293">
        <v>0</v>
      </c>
      <c r="H47" s="293">
        <v>0</v>
      </c>
      <c r="I47" s="293">
        <v>0</v>
      </c>
      <c r="J47" s="293">
        <v>0</v>
      </c>
      <c r="K47" s="293">
        <v>0</v>
      </c>
      <c r="L47" s="293">
        <v>0</v>
      </c>
      <c r="M47" s="293">
        <v>0</v>
      </c>
      <c r="N47" s="293">
        <v>0</v>
      </c>
      <c r="O47" s="293">
        <v>0</v>
      </c>
      <c r="P47" s="293">
        <v>0</v>
      </c>
      <c r="Q47" s="293">
        <v>0</v>
      </c>
      <c r="R47" s="293">
        <v>0</v>
      </c>
      <c r="S47" s="293">
        <v>0</v>
      </c>
      <c r="T47" s="293">
        <v>0</v>
      </c>
      <c r="U47" s="293">
        <v>0</v>
      </c>
    </row>
    <row r="48" spans="1:21" x14ac:dyDescent="0.25">
      <c r="A48" s="290" t="s">
        <v>155</v>
      </c>
      <c r="B48" s="177" t="str">
        <f>""&amp;HLOOKUP($B$1,$C$2:$AA$99,ROW(A48)-ROW($A$1),0)</f>
        <v>0</v>
      </c>
      <c r="C48" s="210">
        <v>0</v>
      </c>
      <c r="D48" s="293">
        <v>0</v>
      </c>
      <c r="E48" s="293">
        <v>0</v>
      </c>
      <c r="F48" s="293">
        <v>0</v>
      </c>
      <c r="G48" s="293">
        <v>0</v>
      </c>
      <c r="H48" s="293">
        <v>0</v>
      </c>
      <c r="I48" s="293">
        <v>0</v>
      </c>
      <c r="J48" s="293">
        <v>0</v>
      </c>
      <c r="K48" s="293">
        <v>0</v>
      </c>
      <c r="L48" s="293">
        <v>0</v>
      </c>
      <c r="M48" s="293">
        <v>0</v>
      </c>
      <c r="N48" s="293">
        <v>0</v>
      </c>
      <c r="O48" s="293">
        <v>0</v>
      </c>
      <c r="P48" s="293">
        <v>0</v>
      </c>
      <c r="Q48" s="293">
        <v>0</v>
      </c>
      <c r="R48" s="293">
        <v>0</v>
      </c>
      <c r="S48" s="293">
        <v>0</v>
      </c>
      <c r="T48" s="293">
        <v>0</v>
      </c>
      <c r="U48" s="293">
        <v>0</v>
      </c>
    </row>
    <row r="49" spans="1:21" x14ac:dyDescent="0.25">
      <c r="A49" s="290" t="s">
        <v>95</v>
      </c>
      <c r="B49" s="177" t="str">
        <f>""&amp;HLOOKUP($B$1,$C$2:$AA$99,ROW(A49)-ROW($A$1),0)</f>
        <v>0</v>
      </c>
      <c r="C49" s="210">
        <v>0</v>
      </c>
      <c r="D49" s="293">
        <v>0</v>
      </c>
      <c r="E49" s="293">
        <v>0</v>
      </c>
      <c r="F49" s="293">
        <v>0</v>
      </c>
      <c r="G49" s="293">
        <v>0</v>
      </c>
      <c r="H49" s="293">
        <v>0</v>
      </c>
      <c r="I49" s="293">
        <v>0</v>
      </c>
      <c r="J49" s="293">
        <v>0</v>
      </c>
      <c r="K49" s="293">
        <v>0</v>
      </c>
      <c r="L49" s="293">
        <v>0</v>
      </c>
      <c r="M49" s="293">
        <v>0</v>
      </c>
      <c r="N49" s="293">
        <v>0</v>
      </c>
      <c r="O49" s="293">
        <v>0</v>
      </c>
      <c r="P49" s="293">
        <v>0</v>
      </c>
      <c r="Q49" s="293">
        <v>0</v>
      </c>
      <c r="R49" s="293">
        <v>0</v>
      </c>
      <c r="S49" s="293">
        <v>0</v>
      </c>
      <c r="T49" s="293">
        <v>0</v>
      </c>
      <c r="U49" s="293">
        <v>0</v>
      </c>
    </row>
    <row r="50" spans="1:21" x14ac:dyDescent="0.25">
      <c r="A50" s="290" t="s">
        <v>96</v>
      </c>
      <c r="B50" s="177" t="str">
        <f>""&amp;HLOOKUP($B$1,$C$2:$AA$99,ROW(A50)-ROW($A$1),0)</f>
        <v>0</v>
      </c>
      <c r="C50" s="210">
        <v>0</v>
      </c>
      <c r="D50" s="293">
        <v>0</v>
      </c>
      <c r="E50" s="293">
        <v>0</v>
      </c>
      <c r="F50" s="293">
        <v>0</v>
      </c>
      <c r="G50" s="293">
        <v>0</v>
      </c>
      <c r="H50" s="293">
        <v>0</v>
      </c>
      <c r="I50" s="293">
        <v>0</v>
      </c>
      <c r="J50" s="293">
        <v>0</v>
      </c>
      <c r="K50" s="293">
        <v>0</v>
      </c>
      <c r="L50" s="293">
        <v>0</v>
      </c>
      <c r="M50" s="293">
        <v>0</v>
      </c>
      <c r="N50" s="293">
        <v>0</v>
      </c>
      <c r="O50" s="293">
        <v>0</v>
      </c>
      <c r="P50" s="293">
        <v>0</v>
      </c>
      <c r="Q50" s="293">
        <v>0</v>
      </c>
      <c r="R50" s="293">
        <v>0</v>
      </c>
      <c r="S50" s="293">
        <v>0</v>
      </c>
      <c r="T50" s="293">
        <v>0</v>
      </c>
      <c r="U50" s="293">
        <v>0</v>
      </c>
    </row>
    <row r="51" spans="1:21" x14ac:dyDescent="0.25">
      <c r="A51" s="290" t="s">
        <v>48</v>
      </c>
      <c r="B51" s="177" t="str">
        <f>""&amp;HLOOKUP($B$1,$C$2:$AA$99,ROW(A51)-ROW($A$1),0)</f>
        <v>0</v>
      </c>
      <c r="C51" s="210">
        <v>8</v>
      </c>
      <c r="D51" s="293">
        <v>0</v>
      </c>
      <c r="E51" s="293">
        <v>4</v>
      </c>
      <c r="F51" s="293">
        <v>4</v>
      </c>
      <c r="G51" s="293">
        <v>0</v>
      </c>
      <c r="H51" s="293">
        <v>0</v>
      </c>
      <c r="I51" s="293">
        <v>0</v>
      </c>
      <c r="J51" s="293">
        <v>0</v>
      </c>
      <c r="K51" s="293">
        <v>0</v>
      </c>
      <c r="L51" s="293">
        <v>0</v>
      </c>
      <c r="M51" s="293">
        <v>0</v>
      </c>
      <c r="N51" s="293">
        <v>0</v>
      </c>
      <c r="O51" s="293">
        <v>0</v>
      </c>
      <c r="P51" s="293">
        <v>0</v>
      </c>
      <c r="Q51" s="293">
        <v>0</v>
      </c>
      <c r="R51" s="293">
        <v>0</v>
      </c>
      <c r="S51" s="293">
        <v>0</v>
      </c>
      <c r="T51" s="293">
        <v>0</v>
      </c>
      <c r="U51" s="293">
        <v>0</v>
      </c>
    </row>
    <row r="52" spans="1:21" x14ac:dyDescent="0.25">
      <c r="A52" s="290" t="s">
        <v>209</v>
      </c>
      <c r="B52" s="177" t="str">
        <f>""&amp;HLOOKUP($B$1,$C$2:$AA$99,ROW(A52)-ROW($A$1),0)</f>
        <v>0</v>
      </c>
      <c r="C52" s="210">
        <v>0</v>
      </c>
      <c r="D52" s="293">
        <v>0</v>
      </c>
      <c r="E52" s="293">
        <v>0</v>
      </c>
      <c r="F52" s="293">
        <v>0</v>
      </c>
      <c r="G52" s="293">
        <v>0</v>
      </c>
      <c r="H52" s="293">
        <v>0</v>
      </c>
      <c r="I52" s="293">
        <v>0</v>
      </c>
      <c r="J52" s="293">
        <v>0</v>
      </c>
      <c r="K52" s="293">
        <v>0</v>
      </c>
      <c r="L52" s="293">
        <v>0</v>
      </c>
      <c r="M52" s="293">
        <v>0</v>
      </c>
      <c r="N52" s="293">
        <v>0</v>
      </c>
      <c r="O52" s="293">
        <v>0</v>
      </c>
      <c r="P52" s="293">
        <v>0</v>
      </c>
      <c r="Q52" s="293">
        <v>0</v>
      </c>
      <c r="R52" s="293">
        <v>0</v>
      </c>
      <c r="S52" s="293">
        <v>0</v>
      </c>
      <c r="T52" s="293">
        <v>0</v>
      </c>
      <c r="U52" s="293">
        <v>0</v>
      </c>
    </row>
    <row r="53" spans="1:21" x14ac:dyDescent="0.25">
      <c r="A53" s="290" t="s">
        <v>174</v>
      </c>
      <c r="B53" s="177" t="str">
        <f>""&amp;HLOOKUP($B$1,$C$2:$AA$99,ROW(A53)-ROW($A$1),0)</f>
        <v>0</v>
      </c>
      <c r="C53" s="210">
        <v>0</v>
      </c>
      <c r="D53" s="293">
        <v>0</v>
      </c>
      <c r="E53" s="293">
        <v>0</v>
      </c>
      <c r="F53" s="293">
        <v>0</v>
      </c>
      <c r="G53" s="293">
        <v>0</v>
      </c>
      <c r="H53" s="293">
        <v>0</v>
      </c>
      <c r="I53" s="293">
        <v>0</v>
      </c>
      <c r="J53" s="293">
        <v>0</v>
      </c>
      <c r="K53" s="293">
        <v>0</v>
      </c>
      <c r="L53" s="293">
        <v>0</v>
      </c>
      <c r="M53" s="293">
        <v>0</v>
      </c>
      <c r="N53" s="293">
        <v>0</v>
      </c>
      <c r="O53" s="293">
        <v>0</v>
      </c>
      <c r="P53" s="293">
        <v>0</v>
      </c>
      <c r="Q53" s="293">
        <v>0</v>
      </c>
      <c r="R53" s="293">
        <v>0</v>
      </c>
      <c r="S53" s="293">
        <v>0</v>
      </c>
      <c r="T53" s="293">
        <v>0</v>
      </c>
      <c r="U53" s="293">
        <v>0</v>
      </c>
    </row>
    <row r="54" spans="1:21" x14ac:dyDescent="0.25">
      <c r="A54" s="290" t="s">
        <v>97</v>
      </c>
      <c r="B54" s="177" t="str">
        <f>""&amp;HLOOKUP($B$1,$C$2:$AA$99,ROW(A54)-ROW($A$1),0)</f>
        <v>0</v>
      </c>
      <c r="C54" s="210">
        <v>0</v>
      </c>
      <c r="D54" s="293">
        <v>0</v>
      </c>
      <c r="E54" s="293">
        <v>0</v>
      </c>
      <c r="F54" s="293">
        <v>0</v>
      </c>
      <c r="G54" s="293">
        <v>0</v>
      </c>
      <c r="H54" s="293">
        <v>0</v>
      </c>
      <c r="I54" s="293">
        <v>0</v>
      </c>
      <c r="J54" s="293">
        <v>0</v>
      </c>
      <c r="K54" s="293">
        <v>0</v>
      </c>
      <c r="L54" s="293">
        <v>0</v>
      </c>
      <c r="M54" s="293">
        <v>0</v>
      </c>
      <c r="N54" s="293">
        <v>0</v>
      </c>
      <c r="O54" s="293">
        <v>0</v>
      </c>
      <c r="P54" s="293">
        <v>0</v>
      </c>
      <c r="Q54" s="293">
        <v>0</v>
      </c>
      <c r="R54" s="293">
        <v>0</v>
      </c>
      <c r="S54" s="293">
        <v>0</v>
      </c>
      <c r="T54" s="293">
        <v>0</v>
      </c>
      <c r="U54" s="293">
        <v>0</v>
      </c>
    </row>
    <row r="55" spans="1:21" x14ac:dyDescent="0.25">
      <c r="A55" s="253" t="s">
        <v>156</v>
      </c>
      <c r="B55" s="177" t="str">
        <f>""&amp;HLOOKUP($B$1,$C$2:$AA$99,ROW(A55)-ROW($A$1),0)</f>
        <v>0</v>
      </c>
      <c r="C55" s="210">
        <v>0</v>
      </c>
      <c r="D55" s="293">
        <v>0</v>
      </c>
      <c r="E55" s="293">
        <v>0</v>
      </c>
      <c r="F55" s="293">
        <v>0</v>
      </c>
      <c r="G55" s="293">
        <v>0</v>
      </c>
      <c r="H55" s="293">
        <v>0</v>
      </c>
      <c r="I55" s="293">
        <v>0</v>
      </c>
      <c r="J55" s="293">
        <v>0</v>
      </c>
      <c r="K55" s="293">
        <v>0</v>
      </c>
      <c r="L55" s="293">
        <v>0</v>
      </c>
      <c r="M55" s="293">
        <v>0</v>
      </c>
      <c r="N55" s="293">
        <v>0</v>
      </c>
      <c r="O55" s="293">
        <v>0</v>
      </c>
      <c r="P55" s="293">
        <v>0</v>
      </c>
      <c r="Q55" s="293">
        <v>0</v>
      </c>
      <c r="R55" s="293">
        <v>0</v>
      </c>
      <c r="S55" s="293">
        <v>0</v>
      </c>
      <c r="T55" s="293">
        <v>0</v>
      </c>
      <c r="U55" s="293">
        <v>0</v>
      </c>
    </row>
    <row r="56" spans="1:21" x14ac:dyDescent="0.25">
      <c r="A56" s="253" t="s">
        <v>162</v>
      </c>
      <c r="B56" s="177" t="str">
        <f>""&amp;HLOOKUP($B$1,$C$2:$AA$99,ROW(A56)-ROW($A$1),0)</f>
        <v>0</v>
      </c>
      <c r="C56" s="210">
        <v>0</v>
      </c>
      <c r="D56" s="293">
        <v>0</v>
      </c>
      <c r="E56" s="293">
        <v>0</v>
      </c>
      <c r="F56" s="293">
        <v>0</v>
      </c>
      <c r="G56" s="293">
        <v>0</v>
      </c>
      <c r="H56" s="293">
        <v>0</v>
      </c>
      <c r="I56" s="293">
        <v>0</v>
      </c>
      <c r="J56" s="293">
        <v>0</v>
      </c>
      <c r="K56" s="293">
        <v>0</v>
      </c>
      <c r="L56" s="293">
        <v>0</v>
      </c>
      <c r="M56" s="293">
        <v>0</v>
      </c>
      <c r="N56" s="293">
        <v>0</v>
      </c>
      <c r="O56" s="293">
        <v>0</v>
      </c>
      <c r="P56" s="293">
        <v>0</v>
      </c>
      <c r="Q56" s="293">
        <v>0</v>
      </c>
      <c r="R56" s="293">
        <v>0</v>
      </c>
      <c r="S56" s="293">
        <v>0</v>
      </c>
      <c r="T56" s="293">
        <v>0</v>
      </c>
      <c r="U56" s="293">
        <v>0</v>
      </c>
    </row>
    <row r="57" spans="1:21" x14ac:dyDescent="0.25">
      <c r="A57" s="253" t="s">
        <v>98</v>
      </c>
      <c r="B57" s="177" t="str">
        <f>""&amp;HLOOKUP($B$1,$C$2:$AA$99,ROW(A57)-ROW($A$1),0)</f>
        <v>0</v>
      </c>
      <c r="C57" s="210">
        <f>DEX-FOR+8</f>
        <v>9</v>
      </c>
      <c r="D57" s="293">
        <v>0</v>
      </c>
      <c r="E57" s="293">
        <v>0</v>
      </c>
      <c r="F57" s="293">
        <v>0</v>
      </c>
      <c r="G57" s="293">
        <v>0</v>
      </c>
      <c r="H57" s="293">
        <v>0</v>
      </c>
      <c r="I57" s="293">
        <v>0</v>
      </c>
      <c r="J57" s="293">
        <v>0</v>
      </c>
      <c r="K57" s="293">
        <v>0</v>
      </c>
      <c r="L57" s="293">
        <v>0</v>
      </c>
      <c r="M57" s="293">
        <v>0</v>
      </c>
      <c r="N57" s="293">
        <v>0</v>
      </c>
      <c r="O57" s="293">
        <v>0</v>
      </c>
      <c r="P57" s="293">
        <v>0</v>
      </c>
      <c r="Q57" s="293">
        <v>0</v>
      </c>
      <c r="R57" s="293">
        <v>0</v>
      </c>
      <c r="S57" s="293">
        <v>0</v>
      </c>
      <c r="T57" s="293">
        <v>0</v>
      </c>
      <c r="U57" s="293">
        <v>0</v>
      </c>
    </row>
    <row r="58" spans="1:21" x14ac:dyDescent="0.25">
      <c r="A58" s="253" t="s">
        <v>157</v>
      </c>
      <c r="B58" s="177" t="str">
        <f>""&amp;HLOOKUP($B$1,$C$2:$AA$99,ROW(A58)-ROW($A$1),0)</f>
        <v>0</v>
      </c>
      <c r="C58" s="210">
        <v>0</v>
      </c>
      <c r="D58" s="293">
        <v>4</v>
      </c>
      <c r="E58" s="293">
        <v>0</v>
      </c>
      <c r="F58" s="293">
        <v>0</v>
      </c>
      <c r="G58" s="293">
        <v>0</v>
      </c>
      <c r="H58" s="293">
        <v>0</v>
      </c>
      <c r="I58" s="293">
        <v>0</v>
      </c>
      <c r="J58" s="293">
        <v>0</v>
      </c>
      <c r="K58" s="293">
        <v>0</v>
      </c>
      <c r="L58" s="293">
        <v>0</v>
      </c>
      <c r="M58" s="293">
        <v>0</v>
      </c>
      <c r="N58" s="293">
        <v>0</v>
      </c>
      <c r="O58" s="293">
        <v>0</v>
      </c>
      <c r="P58" s="293">
        <v>0</v>
      </c>
      <c r="Q58" s="293">
        <v>0</v>
      </c>
      <c r="R58" s="293">
        <v>0</v>
      </c>
      <c r="S58" s="293">
        <v>0</v>
      </c>
      <c r="T58" s="293">
        <v>0</v>
      </c>
      <c r="U58" s="293">
        <v>0</v>
      </c>
    </row>
    <row r="59" spans="1:21" x14ac:dyDescent="0.25">
      <c r="A59" s="253" t="s">
        <v>158</v>
      </c>
      <c r="B59" s="177" t="str">
        <f>""&amp;HLOOKUP($B$1,$C$2:$AA$99,ROW(A59)-ROW($A$1),0)</f>
        <v>0</v>
      </c>
      <c r="C59" s="210">
        <v>0</v>
      </c>
      <c r="D59" s="293">
        <v>0</v>
      </c>
      <c r="E59" s="293">
        <v>0</v>
      </c>
      <c r="F59" s="293">
        <v>0</v>
      </c>
      <c r="G59" s="293">
        <v>0</v>
      </c>
      <c r="H59" s="293">
        <v>0</v>
      </c>
      <c r="I59" s="293">
        <v>0</v>
      </c>
      <c r="J59" s="293">
        <v>0</v>
      </c>
      <c r="K59" s="293">
        <v>0</v>
      </c>
      <c r="L59" s="293">
        <v>0</v>
      </c>
      <c r="M59" s="293">
        <v>0</v>
      </c>
      <c r="N59" s="293">
        <v>0</v>
      </c>
      <c r="O59" s="293">
        <v>0</v>
      </c>
      <c r="P59" s="293">
        <v>0</v>
      </c>
      <c r="Q59" s="293">
        <v>0</v>
      </c>
      <c r="R59" s="293">
        <v>0</v>
      </c>
      <c r="S59" s="293">
        <v>0</v>
      </c>
      <c r="T59" s="293">
        <v>0</v>
      </c>
      <c r="U59" s="293">
        <v>0</v>
      </c>
    </row>
    <row r="60" spans="1:21" s="297" customFormat="1" x14ac:dyDescent="0.25">
      <c r="A60" s="302" t="s">
        <v>395</v>
      </c>
      <c r="B60" s="298" t="str">
        <f>""&amp;HLOOKUP($B$1,$C$2:$AA$99,ROW(A60)-ROW($A$1),0)</f>
        <v/>
      </c>
      <c r="C60" s="296"/>
      <c r="D60" s="294"/>
      <c r="E60" s="294"/>
      <c r="F60" s="294"/>
      <c r="G60" s="294"/>
      <c r="H60" s="294"/>
      <c r="I60" s="294"/>
      <c r="J60" s="294"/>
      <c r="K60" s="294"/>
      <c r="L60" s="294"/>
      <c r="M60" s="294"/>
      <c r="N60" s="294"/>
      <c r="O60" s="294"/>
      <c r="P60" s="294"/>
      <c r="Q60" s="294"/>
      <c r="R60" s="294"/>
      <c r="S60" s="294"/>
      <c r="T60" s="295"/>
      <c r="U60" s="295"/>
    </row>
    <row r="61" spans="1:21" x14ac:dyDescent="0.25">
      <c r="B61" s="177" t="str">
        <f>""&amp;HLOOKUP($B$1,$C$2:$AA$99,ROW(A61)-ROW($A$1),0)</f>
        <v>Morsure (1D6)</v>
      </c>
      <c r="C61" s="210" t="s">
        <v>437</v>
      </c>
      <c r="D61" s="293" t="s">
        <v>401</v>
      </c>
      <c r="E61" s="293" t="s">
        <v>413</v>
      </c>
      <c r="F61" s="293" t="s">
        <v>412</v>
      </c>
      <c r="G61" s="293" t="s">
        <v>417</v>
      </c>
      <c r="H61" s="293" t="s">
        <v>420</v>
      </c>
      <c r="I61" s="293" t="s">
        <v>432</v>
      </c>
      <c r="J61" s="293" t="s">
        <v>432</v>
      </c>
      <c r="K61" s="293" t="s">
        <v>430</v>
      </c>
      <c r="L61" s="293"/>
      <c r="M61" s="293"/>
      <c r="N61" s="293"/>
      <c r="O61" s="293"/>
      <c r="P61" s="293"/>
      <c r="Q61" s="293"/>
      <c r="R61" s="293"/>
      <c r="S61" s="293"/>
      <c r="T61" s="229"/>
      <c r="U61" s="229"/>
    </row>
    <row r="62" spans="1:21" x14ac:dyDescent="0.25">
      <c r="B62" s="177" t="str">
        <f>""&amp;HLOOKUP($B$1,$C$2:$AA$99,ROW(A62)-ROW($A$1),0)</f>
        <v>2 Griffes (1D2, à Att-5)</v>
      </c>
      <c r="C62" s="210" t="s">
        <v>438</v>
      </c>
      <c r="D62" s="293"/>
      <c r="E62" s="293" t="s">
        <v>406</v>
      </c>
      <c r="F62" s="293" t="s">
        <v>414</v>
      </c>
      <c r="G62" s="293" t="s">
        <v>442</v>
      </c>
      <c r="H62" s="293" t="s">
        <v>393</v>
      </c>
      <c r="I62" s="293"/>
      <c r="J62" s="293" t="s">
        <v>434</v>
      </c>
      <c r="K62" s="293" t="s">
        <v>408</v>
      </c>
      <c r="L62" s="293"/>
      <c r="M62" s="293"/>
      <c r="N62" s="293"/>
      <c r="O62" s="293"/>
      <c r="P62" s="293"/>
      <c r="Q62" s="293"/>
      <c r="R62" s="293"/>
      <c r="S62" s="293"/>
      <c r="T62" s="229"/>
      <c r="U62" s="229"/>
    </row>
    <row r="63" spans="1:21" x14ac:dyDescent="0.25">
      <c r="B63" s="177" t="str">
        <f>""&amp;HLOOKUP($B$1,$C$2:$AA$99,ROW(A63)-ROW($A$1),0)</f>
        <v>Croc en jambe (+3)</v>
      </c>
      <c r="C63" s="210" t="s">
        <v>440</v>
      </c>
      <c r="D63" s="293"/>
      <c r="E63" s="293" t="s">
        <v>393</v>
      </c>
      <c r="F63" s="293" t="s">
        <v>407</v>
      </c>
      <c r="G63" s="293" t="s">
        <v>418</v>
      </c>
      <c r="H63" s="293" t="s">
        <v>408</v>
      </c>
      <c r="I63" s="293"/>
      <c r="J63" s="303"/>
      <c r="K63" s="303" t="s">
        <v>431</v>
      </c>
      <c r="L63" s="293"/>
      <c r="M63" s="293"/>
      <c r="N63" s="293"/>
      <c r="O63" s="293"/>
      <c r="P63" s="293"/>
      <c r="Q63" s="293"/>
      <c r="R63" s="293"/>
      <c r="S63" s="293"/>
      <c r="T63" s="229"/>
      <c r="U63" s="229"/>
    </row>
    <row r="64" spans="1:21" x14ac:dyDescent="0.25">
      <c r="B64" s="177" t="str">
        <f>""&amp;HLOOKUP($B$1,$C$2:$AA$99,ROW(A64)-ROW($A$1),0)</f>
        <v/>
      </c>
      <c r="C64" s="210" t="s">
        <v>388</v>
      </c>
      <c r="D64" s="293"/>
      <c r="E64" s="293" t="s">
        <v>407</v>
      </c>
      <c r="F64" s="293" t="s">
        <v>411</v>
      </c>
      <c r="G64" s="293"/>
      <c r="H64" s="303" t="s">
        <v>421</v>
      </c>
      <c r="I64" s="293"/>
      <c r="J64" s="293"/>
      <c r="K64" s="293"/>
      <c r="L64" s="293"/>
      <c r="M64" s="293"/>
      <c r="N64" s="293"/>
      <c r="O64" s="293"/>
      <c r="P64" s="293"/>
      <c r="Q64" s="293"/>
      <c r="R64" s="293"/>
      <c r="S64" s="293"/>
      <c r="T64" s="229"/>
      <c r="U64" s="229"/>
    </row>
    <row r="65" spans="2:21" x14ac:dyDescent="0.25">
      <c r="B65" s="177" t="str">
        <f>""&amp;HLOOKUP($B$1,$C$2:$AA$99,ROW(A65)-ROW($A$1),0)</f>
        <v/>
      </c>
      <c r="C65" s="210" t="s">
        <v>439</v>
      </c>
      <c r="D65" s="293"/>
      <c r="E65" s="293" t="s">
        <v>408</v>
      </c>
      <c r="F65" s="293" t="s">
        <v>409</v>
      </c>
      <c r="G65" s="293"/>
      <c r="H65" s="293" t="s">
        <v>422</v>
      </c>
      <c r="I65" s="293"/>
      <c r="J65" s="293"/>
      <c r="K65" s="293"/>
      <c r="L65" s="293"/>
      <c r="M65" s="293"/>
      <c r="N65" s="293"/>
      <c r="O65" s="293"/>
      <c r="P65" s="293"/>
      <c r="Q65" s="293"/>
      <c r="R65" s="293"/>
      <c r="S65" s="293"/>
      <c r="T65" s="229"/>
      <c r="U65" s="229"/>
    </row>
    <row r="66" spans="2:21" x14ac:dyDescent="0.25">
      <c r="B66" s="177" t="str">
        <f>""&amp;HLOOKUP($B$1,$C$2:$AA$99,ROW(A66)-ROW($A$1),0)</f>
        <v/>
      </c>
      <c r="C66" s="210" t="s">
        <v>391</v>
      </c>
      <c r="D66" s="293"/>
      <c r="E66" s="293" t="s">
        <v>409</v>
      </c>
      <c r="F66" s="293"/>
      <c r="G66" s="293"/>
      <c r="H66" s="293"/>
      <c r="I66" s="293"/>
      <c r="J66" s="293"/>
      <c r="K66" s="293"/>
      <c r="L66" s="293"/>
      <c r="M66" s="293"/>
      <c r="N66" s="293"/>
      <c r="O66" s="293"/>
      <c r="P66" s="293"/>
      <c r="Q66" s="293"/>
      <c r="R66" s="293"/>
      <c r="S66" s="293"/>
      <c r="T66" s="229"/>
      <c r="U66" s="229"/>
    </row>
    <row r="67" spans="2:21" x14ac:dyDescent="0.25">
      <c r="B67" s="177" t="str">
        <f>""&amp;HLOOKUP($B$1,$C$2:$AA$99,ROW(A67)-ROW($A$1),0)</f>
        <v/>
      </c>
      <c r="C67" s="210"/>
      <c r="D67" s="293"/>
      <c r="E67" s="293"/>
      <c r="F67" s="293"/>
      <c r="G67" s="293"/>
      <c r="H67" s="293"/>
      <c r="I67" s="293"/>
      <c r="J67" s="293"/>
      <c r="K67" s="293"/>
      <c r="L67" s="293"/>
      <c r="M67" s="293"/>
      <c r="N67" s="293"/>
      <c r="O67" s="293"/>
      <c r="P67" s="293"/>
      <c r="Q67" s="293"/>
      <c r="R67" s="293"/>
      <c r="S67" s="293"/>
      <c r="T67" s="229"/>
      <c r="U67" s="229"/>
    </row>
    <row r="68" spans="2:21" x14ac:dyDescent="0.25">
      <c r="B68" s="177" t="str">
        <f>""&amp;HLOOKUP($B$1,$C$2:$AA$99,ROW(A68)-ROW($A$1),0)</f>
        <v/>
      </c>
      <c r="C68" s="210"/>
      <c r="D68" s="293"/>
      <c r="E68" s="293"/>
      <c r="F68" s="293"/>
      <c r="G68" s="293"/>
      <c r="H68" s="293"/>
      <c r="I68" s="293"/>
      <c r="J68" s="293"/>
      <c r="K68" s="293"/>
      <c r="L68" s="293"/>
      <c r="M68" s="293"/>
      <c r="N68" s="293"/>
      <c r="O68" s="293"/>
      <c r="P68" s="293"/>
      <c r="Q68" s="293"/>
      <c r="R68" s="293"/>
      <c r="S68" s="293"/>
      <c r="T68" s="229"/>
      <c r="U68" s="229"/>
    </row>
    <row r="69" spans="2:21" x14ac:dyDescent="0.25">
      <c r="B69" s="177" t="str">
        <f>""&amp;HLOOKUP($B$1,$C$2:$AA$99,ROW(A69)-ROW($A$1),0)</f>
        <v/>
      </c>
      <c r="C69" s="210"/>
      <c r="D69" s="293"/>
      <c r="E69" s="293"/>
      <c r="F69" s="293"/>
      <c r="G69" s="293"/>
      <c r="H69" s="293"/>
      <c r="I69" s="293"/>
      <c r="J69" s="293"/>
      <c r="K69" s="293"/>
      <c r="L69" s="293"/>
      <c r="M69" s="293"/>
      <c r="N69" s="293"/>
      <c r="O69" s="293"/>
      <c r="P69" s="293"/>
      <c r="Q69" s="293"/>
      <c r="R69" s="293"/>
      <c r="S69" s="293"/>
      <c r="T69" s="229"/>
      <c r="U69" s="229"/>
    </row>
    <row r="70" spans="2:21" x14ac:dyDescent="0.25">
      <c r="B70" s="177" t="str">
        <f>""&amp;HLOOKUP($B$1,$C$2:$AA$99,ROW(A70)-ROW($A$1),0)</f>
        <v/>
      </c>
      <c r="C70" s="210"/>
      <c r="D70" s="293"/>
      <c r="E70" s="293"/>
      <c r="F70" s="293"/>
      <c r="G70" s="293"/>
      <c r="H70" s="293"/>
      <c r="I70" s="293"/>
      <c r="J70" s="293"/>
      <c r="K70" s="293"/>
      <c r="L70" s="293"/>
      <c r="M70" s="293"/>
      <c r="N70" s="293"/>
      <c r="O70" s="293"/>
      <c r="P70" s="293"/>
      <c r="Q70" s="293"/>
      <c r="R70" s="293"/>
      <c r="S70" s="293"/>
      <c r="T70" s="229"/>
      <c r="U70" s="229"/>
    </row>
    <row r="71" spans="2:21" x14ac:dyDescent="0.25">
      <c r="B71" s="177" t="str">
        <f>""&amp;HLOOKUP($B$1,$C$2:$AA$99,ROW(A71)-ROW($A$1),0)</f>
        <v/>
      </c>
    </row>
    <row r="72" spans="2:21" x14ac:dyDescent="0.25">
      <c r="B72" s="177" t="str">
        <f>""&amp;HLOOKUP($B$1,$C$2:$AA$99,ROW(A72)-ROW($A$1),0)</f>
        <v/>
      </c>
    </row>
    <row r="73" spans="2:21" x14ac:dyDescent="0.25">
      <c r="B73" s="177" t="str">
        <f>""&amp;HLOOKUP($B$1,$C$2:$AA$99,ROW(A73)-ROW($A$1),0)</f>
        <v/>
      </c>
    </row>
    <row r="74" spans="2:21" x14ac:dyDescent="0.25">
      <c r="B74" s="177" t="str">
        <f>""&amp;HLOOKUP($B$1,$C$2:$AA$99,ROW(A74)-ROW($A$1),0)</f>
        <v/>
      </c>
    </row>
    <row r="75" spans="2:21" x14ac:dyDescent="0.25">
      <c r="B75" s="177" t="str">
        <f>""&amp;HLOOKUP($B$1,$C$2:$AA$99,ROW(A75)-ROW($A$1),0)</f>
        <v/>
      </c>
    </row>
    <row r="76" spans="2:21" x14ac:dyDescent="0.25">
      <c r="B76" s="177" t="str">
        <f>""&amp;HLOOKUP($B$1,$C$2:$AA$99,ROW(A76)-ROW($A$1),0)</f>
        <v/>
      </c>
    </row>
    <row r="77" spans="2:21" x14ac:dyDescent="0.25">
      <c r="B77" s="177" t="str">
        <f>""&amp;HLOOKUP($B$1,$C$2:$AA$99,ROW(A77)-ROW($A$1),0)</f>
        <v/>
      </c>
    </row>
    <row r="78" spans="2:21" x14ac:dyDescent="0.25">
      <c r="B78" s="177" t="str">
        <f>""&amp;HLOOKUP($B$1,$C$2:$AA$99,ROW(A78)-ROW($A$1),0)</f>
        <v/>
      </c>
    </row>
    <row r="79" spans="2:21" x14ac:dyDescent="0.25">
      <c r="B79" s="177" t="str">
        <f>""&amp;HLOOKUP($B$1,$C$2:$AA$99,ROW(A79)-ROW($A$1),0)</f>
        <v/>
      </c>
    </row>
    <row r="80" spans="2:21" x14ac:dyDescent="0.25">
      <c r="B80" s="177" t="str">
        <f>""&amp;HLOOKUP($B$1,$C$2:$AA$99,ROW(A80)-ROW($A$1),0)</f>
        <v/>
      </c>
    </row>
    <row r="81" spans="2:2" x14ac:dyDescent="0.25">
      <c r="B81" s="177" t="str">
        <f>""&amp;HLOOKUP($B$1,$C$2:$AA$99,ROW(A81)-ROW($A$1),0)</f>
        <v/>
      </c>
    </row>
    <row r="82" spans="2:2" x14ac:dyDescent="0.25">
      <c r="B82" s="177" t="str">
        <f>""&amp;HLOOKUP($B$1,$C$2:$AA$99,ROW(A82)-ROW($A$1),0)</f>
        <v/>
      </c>
    </row>
    <row r="83" spans="2:2" x14ac:dyDescent="0.25">
      <c r="B83" s="177" t="str">
        <f>""&amp;HLOOKUP($B$1,$C$2:$AA$99,ROW(A83)-ROW($A$1),0)</f>
        <v/>
      </c>
    </row>
    <row r="84" spans="2:2" x14ac:dyDescent="0.25">
      <c r="B84" s="177" t="str">
        <f>""&amp;HLOOKUP($B$1,$C$2:$AA$99,ROW(A84)-ROW($A$1),0)</f>
        <v/>
      </c>
    </row>
  </sheetData>
  <dataValidations count="2">
    <dataValidation type="list" allowBlank="1" showInputMessage="1" showErrorMessage="1" sqref="B1">
      <formula1>$C$2:$O$2</formula1>
    </dataValidation>
    <dataValidation type="list" allowBlank="1" showInputMessage="1" showErrorMessage="1" sqref="C12:U12">
      <formula1>"I,Min,TP,P,M,G,TG,Gig,C"</formula1>
    </dataValidation>
  </dataValidations>
  <hyperlinks>
    <hyperlink ref="C2"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86"/>
  <sheetViews>
    <sheetView topLeftCell="A13" workbookViewId="0">
      <selection activeCell="G13" sqref="G13"/>
    </sheetView>
  </sheetViews>
  <sheetFormatPr baseColWidth="10" defaultRowHeight="15" x14ac:dyDescent="0.25"/>
  <cols>
    <col min="1" max="1" width="23.42578125" style="246" customWidth="1"/>
    <col min="2" max="2" width="16.5703125" style="246" customWidth="1"/>
    <col min="3" max="3" width="14.5703125" style="246" customWidth="1"/>
    <col min="4" max="4" width="14.85546875" style="246" customWidth="1"/>
    <col min="5" max="5" width="13.42578125" style="246" customWidth="1"/>
    <col min="6" max="7" width="11.42578125" style="246"/>
    <col min="8" max="8" width="13.140625" style="246" customWidth="1"/>
    <col min="9" max="16384" width="11.42578125" style="246"/>
  </cols>
  <sheetData>
    <row r="1" spans="1:7" x14ac:dyDescent="0.25">
      <c r="A1" s="248" t="s">
        <v>0</v>
      </c>
      <c r="B1" s="124"/>
    </row>
    <row r="2" spans="1:7" x14ac:dyDescent="0.25">
      <c r="A2" s="253" t="s">
        <v>159</v>
      </c>
      <c r="B2" s="107" t="s">
        <v>241</v>
      </c>
    </row>
    <row r="3" spans="1:7" x14ac:dyDescent="0.25">
      <c r="A3" s="253" t="s">
        <v>70</v>
      </c>
      <c r="B3" s="107" t="s">
        <v>238</v>
      </c>
    </row>
    <row r="4" spans="1:7" s="1" customFormat="1" x14ac:dyDescent="0.25">
      <c r="A4" s="253" t="s">
        <v>105</v>
      </c>
      <c r="B4" s="107" t="s">
        <v>122</v>
      </c>
      <c r="C4" s="34"/>
      <c r="D4" s="246"/>
      <c r="E4" s="246"/>
      <c r="F4" s="246"/>
      <c r="G4" s="246"/>
    </row>
    <row r="5" spans="1:7" s="1" customFormat="1" x14ac:dyDescent="0.25">
      <c r="A5" s="253" t="s">
        <v>15</v>
      </c>
      <c r="B5" s="107" t="str">
        <f>IF(CROISSANCE,"G","P")</f>
        <v>P</v>
      </c>
      <c r="C5" s="34"/>
      <c r="D5" s="246"/>
      <c r="E5" s="246"/>
      <c r="F5" s="246"/>
      <c r="G5" s="246"/>
    </row>
    <row r="6" spans="1:7" x14ac:dyDescent="0.25">
      <c r="A6" s="255" t="s">
        <v>167</v>
      </c>
      <c r="B6" s="73">
        <f>IF($B$5="P",1,0)+IF($B$5="TP",2,0)+IF($B$5="Min",3,0)+IF($B$5="I",4,0)+IF($B$5="G",-1,0)+IF($B$5="TG",-2,0)+IF($B$5="Gig",-3,0)+IF($B$5="C",-4,0)</f>
        <v>1</v>
      </c>
      <c r="C6" s="34"/>
    </row>
    <row r="8" spans="1:7" x14ac:dyDescent="0.25">
      <c r="A8" s="248" t="s">
        <v>111</v>
      </c>
      <c r="B8" s="61">
        <f>1+(TR_DRUI*2-2)</f>
        <v>7</v>
      </c>
      <c r="C8" s="132" t="s">
        <v>121</v>
      </c>
    </row>
    <row r="9" spans="1:7" x14ac:dyDescent="0.25">
      <c r="A9" s="255" t="s">
        <v>112</v>
      </c>
      <c r="B9" s="73">
        <f>ROUNDDOWN(B8*4.5,0)+B8*C26</f>
        <v>38</v>
      </c>
      <c r="C9" s="34"/>
    </row>
    <row r="10" spans="1:7" x14ac:dyDescent="0.25">
      <c r="B10" s="250"/>
      <c r="C10" s="34"/>
    </row>
    <row r="11" spans="1:7" x14ac:dyDescent="0.25">
      <c r="A11" s="248" t="s">
        <v>28</v>
      </c>
      <c r="B11" s="262">
        <f>ROUNDDOWN(B8*3/4,0)</f>
        <v>5</v>
      </c>
    </row>
    <row r="12" spans="1:7" x14ac:dyDescent="0.25">
      <c r="A12" s="253" t="s">
        <v>29</v>
      </c>
      <c r="B12" s="131">
        <f>B11+C24-4*E19</f>
        <v>3</v>
      </c>
    </row>
    <row r="13" spans="1:7" x14ac:dyDescent="0.25">
      <c r="A13" s="255" t="s">
        <v>115</v>
      </c>
      <c r="B13" s="73">
        <f>C25</f>
        <v>5</v>
      </c>
      <c r="C13" s="34"/>
    </row>
    <row r="14" spans="1:7" x14ac:dyDescent="0.25">
      <c r="A14" s="257"/>
      <c r="B14" s="168"/>
      <c r="C14" s="34"/>
    </row>
    <row r="15" spans="1:7" x14ac:dyDescent="0.25">
      <c r="A15" s="70" t="s">
        <v>243</v>
      </c>
      <c r="B15" s="262">
        <f>NIV_CLASSE1+3</f>
        <v>9</v>
      </c>
      <c r="C15" s="282" t="s">
        <v>435</v>
      </c>
      <c r="E15" s="125" t="b">
        <v>0</v>
      </c>
      <c r="F15" s="217" t="s">
        <v>436</v>
      </c>
    </row>
    <row r="16" spans="1:7" x14ac:dyDescent="0.25">
      <c r="A16" s="266" t="s">
        <v>244</v>
      </c>
      <c r="B16" s="73">
        <f>IF(B15&gt;8,4,IF(B15&gt;5,3,IF(B15&gt;2,2,IF(B15&gt;0,1,0))))</f>
        <v>4</v>
      </c>
      <c r="C16" s="34"/>
    </row>
    <row r="17" spans="1:8" x14ac:dyDescent="0.25">
      <c r="B17" s="250"/>
      <c r="C17" s="34"/>
    </row>
    <row r="18" spans="1:8" x14ac:dyDescent="0.25">
      <c r="A18" s="76" t="s">
        <v>133</v>
      </c>
      <c r="B18" s="79" t="s">
        <v>68</v>
      </c>
      <c r="C18" s="172" t="s">
        <v>117</v>
      </c>
      <c r="D18" s="122" t="s">
        <v>43</v>
      </c>
      <c r="E18" s="172" t="s">
        <v>15</v>
      </c>
      <c r="F18" s="172" t="s">
        <v>27</v>
      </c>
      <c r="G18" s="173" t="s">
        <v>203</v>
      </c>
    </row>
    <row r="19" spans="1:8" x14ac:dyDescent="0.25">
      <c r="A19" s="145" t="s">
        <v>249</v>
      </c>
      <c r="B19" s="168">
        <f>B11+C25+E19+SUM(F19:G19)</f>
        <v>11</v>
      </c>
      <c r="C19" s="267" t="s">
        <v>116</v>
      </c>
      <c r="D19" s="145">
        <f>C24</f>
        <v>2</v>
      </c>
      <c r="E19" s="145">
        <f>B6</f>
        <v>1</v>
      </c>
      <c r="F19" s="221">
        <v>0</v>
      </c>
      <c r="G19" s="210">
        <v>0</v>
      </c>
      <c r="H19" s="217" t="s">
        <v>402</v>
      </c>
    </row>
    <row r="20" spans="1:8" x14ac:dyDescent="0.25">
      <c r="A20" s="145" t="s">
        <v>248</v>
      </c>
      <c r="B20" s="168">
        <f>B11+C25+E20+SUM(F20:G20)-IF(TR_DRUI&gt;3,2,5)</f>
        <v>9</v>
      </c>
      <c r="C20" s="267" t="s">
        <v>334</v>
      </c>
      <c r="D20" s="145">
        <f>ROUNDDOWN(C24/2,0)</f>
        <v>1</v>
      </c>
      <c r="E20" s="145">
        <f>B6</f>
        <v>1</v>
      </c>
      <c r="F20" s="221">
        <v>0</v>
      </c>
      <c r="G20" s="210">
        <v>0</v>
      </c>
      <c r="H20" s="217" t="s">
        <v>403</v>
      </c>
    </row>
    <row r="21" spans="1:8" x14ac:dyDescent="0.25">
      <c r="A21" s="53" t="s">
        <v>247</v>
      </c>
      <c r="B21" s="175">
        <f>B11+C25+E21+SUM(F21:G21)</f>
        <v>11</v>
      </c>
      <c r="C21" s="268" t="s">
        <v>116</v>
      </c>
      <c r="D21" s="85">
        <f>ROUNDDOWN(C24/2,0)</f>
        <v>1</v>
      </c>
      <c r="E21" s="85">
        <f>B6</f>
        <v>1</v>
      </c>
      <c r="F21" s="219">
        <v>0</v>
      </c>
      <c r="G21" s="218">
        <v>0</v>
      </c>
    </row>
    <row r="22" spans="1:8" ht="15.75" thickBot="1" x14ac:dyDescent="0.3"/>
    <row r="23" spans="1:8" x14ac:dyDescent="0.25">
      <c r="A23" s="248" t="s">
        <v>35</v>
      </c>
      <c r="B23" s="122" t="s">
        <v>23</v>
      </c>
      <c r="C23" s="176" t="s">
        <v>24</v>
      </c>
      <c r="D23" s="263" t="s">
        <v>25</v>
      </c>
      <c r="E23" s="79" t="s">
        <v>245</v>
      </c>
      <c r="F23" s="262" t="s">
        <v>171</v>
      </c>
    </row>
    <row r="24" spans="1:8" x14ac:dyDescent="0.25">
      <c r="A24" s="253" t="s">
        <v>17</v>
      </c>
      <c r="B24" s="168">
        <f>SUM(D24:F24)+IF(CROISSANCE,8,0)</f>
        <v>15</v>
      </c>
      <c r="C24" s="118">
        <f t="shared" ref="C24:C29" si="0">IF((B24-10)/2&gt;0,ROUNDDOWN((B24-10)/2,0),ROUNDUP((B24-10)/2,0))</f>
        <v>2</v>
      </c>
      <c r="D24" s="264">
        <v>12</v>
      </c>
      <c r="E24" s="168">
        <f>TR_DRUI-1</f>
        <v>3</v>
      </c>
      <c r="F24" s="210"/>
    </row>
    <row r="25" spans="1:8" x14ac:dyDescent="0.25">
      <c r="A25" s="253" t="s">
        <v>18</v>
      </c>
      <c r="B25" s="168">
        <f>SUM(D25:F25)-IF(CROISSANCE,2,0)</f>
        <v>20</v>
      </c>
      <c r="C25" s="118">
        <f t="shared" si="0"/>
        <v>5</v>
      </c>
      <c r="D25" s="264">
        <v>17</v>
      </c>
      <c r="E25" s="168">
        <f>TR_DRUI-1</f>
        <v>3</v>
      </c>
      <c r="F25" s="210"/>
      <c r="H25" s="285" t="s">
        <v>397</v>
      </c>
    </row>
    <row r="26" spans="1:8" x14ac:dyDescent="0.25">
      <c r="A26" s="253" t="s">
        <v>19</v>
      </c>
      <c r="B26" s="168">
        <f>SUM(D26:F26)+IF(CROISSANCE,4,0)</f>
        <v>13</v>
      </c>
      <c r="C26" s="118">
        <f t="shared" si="0"/>
        <v>1</v>
      </c>
      <c r="D26" s="264">
        <v>13</v>
      </c>
      <c r="E26" s="163" t="s">
        <v>103</v>
      </c>
      <c r="F26" s="210"/>
      <c r="H26" s="285" t="s">
        <v>396</v>
      </c>
    </row>
    <row r="27" spans="1:8" x14ac:dyDescent="0.25">
      <c r="A27" s="253" t="s">
        <v>20</v>
      </c>
      <c r="B27" s="168">
        <f t="shared" ref="B25:B29" si="1">SUM(D27:F27)</f>
        <v>2</v>
      </c>
      <c r="C27" s="118">
        <f>IF((B27-10)/2&gt;0,ROUNDDOWN((B27-10)/2,0),ROUNDUP((B27-10)/2,0))</f>
        <v>-4</v>
      </c>
      <c r="D27" s="264">
        <v>2</v>
      </c>
      <c r="E27" s="163" t="s">
        <v>103</v>
      </c>
      <c r="F27" s="210"/>
      <c r="H27" s="285" t="s">
        <v>372</v>
      </c>
    </row>
    <row r="28" spans="1:8" x14ac:dyDescent="0.25">
      <c r="A28" s="253" t="s">
        <v>21</v>
      </c>
      <c r="B28" s="168">
        <f t="shared" si="1"/>
        <v>12</v>
      </c>
      <c r="C28" s="118">
        <f t="shared" si="0"/>
        <v>1</v>
      </c>
      <c r="D28" s="264">
        <v>12</v>
      </c>
      <c r="E28" s="163" t="s">
        <v>103</v>
      </c>
      <c r="F28" s="210"/>
      <c r="H28" s="285" t="s">
        <v>374</v>
      </c>
    </row>
    <row r="29" spans="1:8" ht="15.75" thickBot="1" x14ac:dyDescent="0.3">
      <c r="A29" s="255" t="s">
        <v>22</v>
      </c>
      <c r="B29" s="77">
        <f t="shared" si="1"/>
        <v>7</v>
      </c>
      <c r="C29" s="119">
        <f t="shared" si="0"/>
        <v>-2</v>
      </c>
      <c r="D29" s="265">
        <v>7</v>
      </c>
      <c r="E29" s="175" t="s">
        <v>103</v>
      </c>
      <c r="F29" s="218"/>
    </row>
    <row r="30" spans="1:8" ht="15.75" thickBot="1" x14ac:dyDescent="0.3">
      <c r="E30" s="257"/>
    </row>
    <row r="31" spans="1:8" x14ac:dyDescent="0.25">
      <c r="A31" s="250"/>
      <c r="B31" s="48" t="s">
        <v>23</v>
      </c>
      <c r="C31" s="79" t="s">
        <v>25</v>
      </c>
      <c r="D31" s="79" t="s">
        <v>35</v>
      </c>
      <c r="E31" s="79" t="s">
        <v>27</v>
      </c>
      <c r="F31" s="262" t="s">
        <v>203</v>
      </c>
      <c r="G31" s="33"/>
    </row>
    <row r="32" spans="1:8" x14ac:dyDescent="0.25">
      <c r="A32" s="250" t="s">
        <v>32</v>
      </c>
      <c r="B32" s="118">
        <f>SUM(C32:F32)+IF(CROISSANCE,4,0)</f>
        <v>10</v>
      </c>
      <c r="C32" s="168">
        <f>ROUNDDOWN(B8/2+2,0)</f>
        <v>5</v>
      </c>
      <c r="D32" s="168">
        <f>C25</f>
        <v>5</v>
      </c>
      <c r="E32" s="221"/>
      <c r="F32" s="210"/>
    </row>
    <row r="33" spans="1:9" x14ac:dyDescent="0.25">
      <c r="A33" s="250" t="s">
        <v>33</v>
      </c>
      <c r="B33" s="118">
        <f>SUM(C33:F33)+IF(CROISSANCE,4,0)</f>
        <v>6</v>
      </c>
      <c r="C33" s="168">
        <f>ROUNDDOWN(B8/2+2,0)</f>
        <v>5</v>
      </c>
      <c r="D33" s="168">
        <f>C26</f>
        <v>1</v>
      </c>
      <c r="E33" s="221"/>
      <c r="F33" s="210"/>
      <c r="G33" s="35"/>
    </row>
    <row r="34" spans="1:9" ht="15.75" thickBot="1" x14ac:dyDescent="0.3">
      <c r="A34" s="250" t="s">
        <v>34</v>
      </c>
      <c r="B34" s="119">
        <f>SUM(C34:F34)+IF(CROISSANCE,4,0)</f>
        <v>3</v>
      </c>
      <c r="C34" s="175">
        <f>ROUNDDOWN(B8/3,0)</f>
        <v>2</v>
      </c>
      <c r="D34" s="175">
        <f>C28</f>
        <v>1</v>
      </c>
      <c r="E34" s="219"/>
      <c r="F34" s="218"/>
    </row>
    <row r="35" spans="1:9" ht="15.75" thickBot="1" x14ac:dyDescent="0.3"/>
    <row r="36" spans="1:9" x14ac:dyDescent="0.25">
      <c r="A36" s="181"/>
      <c r="B36" s="176" t="s">
        <v>23</v>
      </c>
      <c r="C36" s="122" t="s">
        <v>25</v>
      </c>
      <c r="D36" s="122" t="s">
        <v>18</v>
      </c>
      <c r="E36" s="122" t="s">
        <v>40</v>
      </c>
      <c r="F36" s="122" t="s">
        <v>15</v>
      </c>
      <c r="G36" s="122" t="s">
        <v>38</v>
      </c>
      <c r="H36" s="122" t="s">
        <v>27</v>
      </c>
      <c r="I36" s="61" t="s">
        <v>203</v>
      </c>
    </row>
    <row r="37" spans="1:9" x14ac:dyDescent="0.25">
      <c r="A37" s="180" t="s">
        <v>37</v>
      </c>
      <c r="B37" s="177">
        <f>SUM(C37:I37)</f>
        <v>23</v>
      </c>
      <c r="C37" s="85">
        <f>10</f>
        <v>10</v>
      </c>
      <c r="D37" s="179">
        <f>C25</f>
        <v>5</v>
      </c>
      <c r="E37" s="175">
        <f>1+TR_DRUI*2-2+IF(CROISSANCE,2,0)</f>
        <v>7</v>
      </c>
      <c r="F37" s="85">
        <f>B6</f>
        <v>1</v>
      </c>
      <c r="G37" s="219">
        <v>0</v>
      </c>
      <c r="H37" s="219">
        <v>0</v>
      </c>
      <c r="I37" s="218">
        <v>0</v>
      </c>
    </row>
    <row r="38" spans="1:9" x14ac:dyDescent="0.25">
      <c r="A38" s="248" t="s">
        <v>114</v>
      </c>
      <c r="B38" s="177">
        <f>C37+D37+F37+H37+I37</f>
        <v>16</v>
      </c>
      <c r="C38" s="247"/>
      <c r="D38" s="5"/>
      <c r="E38" s="22"/>
      <c r="F38" s="247"/>
      <c r="G38" s="247"/>
    </row>
    <row r="39" spans="1:9" ht="15.75" thickBot="1" x14ac:dyDescent="0.3">
      <c r="A39" s="255" t="s">
        <v>123</v>
      </c>
      <c r="B39" s="178">
        <f>C37+E37+F37+G37+H37+I37+IF(D37&lt;0,D37,0)</f>
        <v>18</v>
      </c>
      <c r="C39" s="247"/>
      <c r="D39" s="5"/>
      <c r="E39" s="22"/>
      <c r="F39" s="247"/>
      <c r="G39" s="247"/>
    </row>
    <row r="40" spans="1:9" ht="15.75" thickBot="1" x14ac:dyDescent="0.3"/>
    <row r="41" spans="1:9" x14ac:dyDescent="0.25">
      <c r="A41" s="248" t="s">
        <v>113</v>
      </c>
      <c r="B41" s="176" t="s">
        <v>23</v>
      </c>
      <c r="C41" s="122" t="s">
        <v>25</v>
      </c>
      <c r="D41" s="122" t="s">
        <v>119</v>
      </c>
      <c r="E41" s="122" t="s">
        <v>67</v>
      </c>
      <c r="F41" s="79" t="s">
        <v>52</v>
      </c>
      <c r="G41" s="61" t="s">
        <v>15</v>
      </c>
      <c r="H41" s="34"/>
    </row>
    <row r="42" spans="1:9" x14ac:dyDescent="0.25">
      <c r="A42" s="241" t="s">
        <v>49</v>
      </c>
      <c r="B42" s="183">
        <f t="shared" ref="B42:B48" si="2">SUM(C42:G42)</f>
        <v>3</v>
      </c>
      <c r="C42" s="221">
        <v>2</v>
      </c>
      <c r="D42" s="145">
        <f>C28</f>
        <v>1</v>
      </c>
      <c r="E42" s="247">
        <v>0</v>
      </c>
      <c r="F42" s="243"/>
      <c r="G42" s="107"/>
    </row>
    <row r="43" spans="1:9" x14ac:dyDescent="0.25">
      <c r="A43" s="241" t="s">
        <v>86</v>
      </c>
      <c r="B43" s="183">
        <f t="shared" si="2"/>
        <v>9</v>
      </c>
      <c r="C43" s="221">
        <v>0</v>
      </c>
      <c r="D43" s="145">
        <f>C25</f>
        <v>5</v>
      </c>
      <c r="E43" s="247">
        <v>4</v>
      </c>
      <c r="F43" s="243"/>
      <c r="G43" s="107"/>
    </row>
    <row r="44" spans="1:9" x14ac:dyDescent="0.25">
      <c r="A44" s="241" t="s">
        <v>88</v>
      </c>
      <c r="B44" s="183">
        <f t="shared" si="2"/>
        <v>13</v>
      </c>
      <c r="C44" s="221">
        <v>0</v>
      </c>
      <c r="D44" s="145">
        <f>C25</f>
        <v>5</v>
      </c>
      <c r="E44" s="247">
        <v>4</v>
      </c>
      <c r="F44" s="243"/>
      <c r="G44" s="210">
        <v>4</v>
      </c>
      <c r="H44" s="269" t="s">
        <v>390</v>
      </c>
    </row>
    <row r="45" spans="1:9" x14ac:dyDescent="0.25">
      <c r="A45" s="241" t="s">
        <v>89</v>
      </c>
      <c r="B45" s="183">
        <f t="shared" si="2"/>
        <v>9</v>
      </c>
      <c r="C45" s="221">
        <v>0</v>
      </c>
      <c r="D45" s="145">
        <f>C25</f>
        <v>5</v>
      </c>
      <c r="E45" s="247">
        <v>4</v>
      </c>
      <c r="F45" s="243"/>
      <c r="G45" s="107"/>
    </row>
    <row r="46" spans="1:9" x14ac:dyDescent="0.25">
      <c r="A46" s="241" t="s">
        <v>90</v>
      </c>
      <c r="B46" s="183">
        <f t="shared" si="2"/>
        <v>8</v>
      </c>
      <c r="C46" s="221">
        <v>2</v>
      </c>
      <c r="D46" s="145">
        <f>C24</f>
        <v>2</v>
      </c>
      <c r="E46" s="247">
        <v>4</v>
      </c>
      <c r="F46" s="243"/>
      <c r="G46" s="107"/>
    </row>
    <row r="47" spans="1:9" x14ac:dyDescent="0.25">
      <c r="A47" s="241" t="s">
        <v>48</v>
      </c>
      <c r="B47" s="183">
        <f t="shared" si="2"/>
        <v>9</v>
      </c>
      <c r="C47" s="221">
        <v>0</v>
      </c>
      <c r="D47" s="145">
        <f>C28</f>
        <v>1</v>
      </c>
      <c r="E47" s="247">
        <v>8</v>
      </c>
      <c r="F47" s="243"/>
      <c r="G47" s="107"/>
    </row>
    <row r="48" spans="1:9" ht="15.75" thickBot="1" x14ac:dyDescent="0.3">
      <c r="A48" s="242" t="s">
        <v>98</v>
      </c>
      <c r="B48" s="184">
        <f>SUM(C48:G48)+I48</f>
        <v>17</v>
      </c>
      <c r="C48" s="219">
        <v>0</v>
      </c>
      <c r="D48" s="85">
        <f>C25</f>
        <v>5</v>
      </c>
      <c r="E48" s="85">
        <v>8</v>
      </c>
      <c r="F48" s="244"/>
      <c r="G48" s="73"/>
      <c r="H48" s="288" t="s">
        <v>389</v>
      </c>
      <c r="I48" s="220">
        <v>4</v>
      </c>
    </row>
    <row r="49" spans="1:5" x14ac:dyDescent="0.25">
      <c r="B49" s="130" t="s">
        <v>137</v>
      </c>
      <c r="C49" s="131">
        <f>SUM(C42:C48)</f>
        <v>4</v>
      </c>
      <c r="D49" s="113" t="s">
        <v>371</v>
      </c>
      <c r="E49" s="116">
        <f>B8+3</f>
        <v>10</v>
      </c>
    </row>
    <row r="50" spans="1:5" x14ac:dyDescent="0.25">
      <c r="B50" s="53" t="s">
        <v>138</v>
      </c>
      <c r="C50" s="47">
        <f>(B8+3)*IF(2+C27&gt;1,2+C27,1)</f>
        <v>10</v>
      </c>
    </row>
    <row r="52" spans="1:5" x14ac:dyDescent="0.25">
      <c r="A52" s="174" t="s">
        <v>54</v>
      </c>
    </row>
    <row r="53" spans="1:5" x14ac:dyDescent="0.25">
      <c r="A53" s="229" t="s">
        <v>118</v>
      </c>
      <c r="B53" s="217" t="s">
        <v>370</v>
      </c>
      <c r="C53" s="35" t="s">
        <v>251</v>
      </c>
    </row>
    <row r="54" spans="1:5" x14ac:dyDescent="0.25">
      <c r="A54" s="229" t="s">
        <v>393</v>
      </c>
      <c r="B54" s="217" t="s">
        <v>67</v>
      </c>
      <c r="C54" s="34" t="s">
        <v>394</v>
      </c>
    </row>
    <row r="55" spans="1:5" x14ac:dyDescent="0.25">
      <c r="A55" s="229" t="s">
        <v>252</v>
      </c>
      <c r="B55" s="217" t="s">
        <v>67</v>
      </c>
      <c r="C55" s="34" t="s">
        <v>258</v>
      </c>
    </row>
    <row r="56" spans="1:5" x14ac:dyDescent="0.25">
      <c r="A56" s="229" t="s">
        <v>247</v>
      </c>
      <c r="B56" s="217" t="s">
        <v>67</v>
      </c>
      <c r="C56" s="34" t="s">
        <v>253</v>
      </c>
    </row>
    <row r="57" spans="1:5" x14ac:dyDescent="0.25">
      <c r="A57" s="229" t="s">
        <v>255</v>
      </c>
      <c r="B57" s="217" t="s">
        <v>67</v>
      </c>
      <c r="C57" s="34" t="s">
        <v>256</v>
      </c>
    </row>
    <row r="58" spans="1:5" x14ac:dyDescent="0.25">
      <c r="A58" s="229" t="s">
        <v>254</v>
      </c>
      <c r="B58" s="217" t="s">
        <v>67</v>
      </c>
      <c r="C58" s="35" t="s">
        <v>257</v>
      </c>
    </row>
    <row r="59" spans="1:5" x14ac:dyDescent="0.25">
      <c r="A59" s="229"/>
      <c r="B59" s="35" t="s">
        <v>367</v>
      </c>
    </row>
    <row r="60" spans="1:5" x14ac:dyDescent="0.25">
      <c r="A60" s="230"/>
      <c r="B60" s="35" t="s">
        <v>368</v>
      </c>
    </row>
    <row r="62" spans="1:5" x14ac:dyDescent="0.25">
      <c r="A62" s="102" t="s">
        <v>36</v>
      </c>
    </row>
    <row r="63" spans="1:5" x14ac:dyDescent="0.25">
      <c r="A63" s="229" t="s">
        <v>124</v>
      </c>
    </row>
    <row r="64" spans="1:5" x14ac:dyDescent="0.25">
      <c r="A64" s="230" t="s">
        <v>125</v>
      </c>
    </row>
    <row r="66" spans="1:2" x14ac:dyDescent="0.25">
      <c r="A66" s="102" t="s">
        <v>250</v>
      </c>
      <c r="B66" s="217"/>
    </row>
    <row r="67" spans="1:2" x14ac:dyDescent="0.25">
      <c r="A67" s="229" t="str">
        <f>IF(TR_DRUI&gt;0,"Lien","-")</f>
        <v>Lien</v>
      </c>
      <c r="B67" s="217" t="s">
        <v>262</v>
      </c>
    </row>
    <row r="68" spans="1:2" x14ac:dyDescent="0.25">
      <c r="A68" s="229" t="str">
        <f>IF(TR_DRUI&gt;0,"Transfert d'effet magique","-")</f>
        <v>Transfert d'effet magique</v>
      </c>
      <c r="B68" s="269" t="s">
        <v>261</v>
      </c>
    </row>
    <row r="69" spans="1:2" x14ac:dyDescent="0.25">
      <c r="A69" s="229" t="str">
        <f>IF(TR_DRUI&gt;1,"Esquive totale","-")</f>
        <v>Esquive totale</v>
      </c>
      <c r="B69" s="269" t="s">
        <v>260</v>
      </c>
    </row>
    <row r="70" spans="1:2" x14ac:dyDescent="0.25">
      <c r="A70" s="229" t="str">
        <f>IF(TR_DRUI&gt;2,"Dévotion","-")</f>
        <v>Dévotion</v>
      </c>
      <c r="B70" s="269" t="s">
        <v>259</v>
      </c>
    </row>
    <row r="71" spans="1:2" x14ac:dyDescent="0.25">
      <c r="A71" s="229" t="str">
        <f>IF(TR_DRUI&gt;3,"Attaques multiples","-")</f>
        <v>Attaques multiples</v>
      </c>
      <c r="B71" s="217" t="s">
        <v>335</v>
      </c>
    </row>
    <row r="72" spans="1:2" x14ac:dyDescent="0.25">
      <c r="A72" s="229"/>
    </row>
    <row r="73" spans="1:2" x14ac:dyDescent="0.25">
      <c r="A73" s="230"/>
    </row>
    <row r="75" spans="1:2" x14ac:dyDescent="0.25">
      <c r="A75" s="102" t="s">
        <v>373</v>
      </c>
      <c r="B75" s="130"/>
    </row>
    <row r="76" spans="1:2" x14ac:dyDescent="0.25">
      <c r="A76" s="229"/>
    </row>
    <row r="77" spans="1:2" x14ac:dyDescent="0.25">
      <c r="A77" s="229"/>
    </row>
    <row r="78" spans="1:2" x14ac:dyDescent="0.25">
      <c r="A78" s="229"/>
    </row>
    <row r="79" spans="1:2" x14ac:dyDescent="0.25">
      <c r="A79" s="229"/>
    </row>
    <row r="80" spans="1:2" x14ac:dyDescent="0.25">
      <c r="A80" s="230"/>
    </row>
    <row r="81" spans="1:2" x14ac:dyDescent="0.25">
      <c r="A81" s="102" t="s">
        <v>369</v>
      </c>
      <c r="B81" s="101">
        <f>TR_DRUI</f>
        <v>4</v>
      </c>
    </row>
    <row r="82" spans="1:2" x14ac:dyDescent="0.25">
      <c r="A82" s="229"/>
    </row>
    <row r="83" spans="1:2" x14ac:dyDescent="0.25">
      <c r="A83" s="229"/>
    </row>
    <row r="84" spans="1:2" x14ac:dyDescent="0.25">
      <c r="A84" s="229"/>
    </row>
    <row r="85" spans="1:2" x14ac:dyDescent="0.25">
      <c r="A85" s="229"/>
    </row>
    <row r="86" spans="1:2" x14ac:dyDescent="0.25">
      <c r="A86" s="230"/>
    </row>
  </sheetData>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5" r:id="rId4" name="ArmureMage">
              <controlPr defaultSize="0" autoFill="0" autoLine="0" autoPict="0">
                <anchor moveWithCells="1">
                  <from>
                    <xdr:col>2</xdr:col>
                    <xdr:colOff>19050</xdr:colOff>
                    <xdr:row>13</xdr:row>
                    <xdr:rowOff>180975</xdr:rowOff>
                  </from>
                  <to>
                    <xdr:col>2</xdr:col>
                    <xdr:colOff>257175</xdr:colOff>
                    <xdr:row>15</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G110"/>
  <sheetViews>
    <sheetView tabSelected="1" workbookViewId="0">
      <selection activeCell="H30" sqref="H30"/>
    </sheetView>
  </sheetViews>
  <sheetFormatPr baseColWidth="10" defaultRowHeight="15" x14ac:dyDescent="0.25"/>
  <cols>
    <col min="1" max="1" width="34" bestFit="1" customWidth="1"/>
    <col min="5" max="5" width="5.7109375" style="6" customWidth="1"/>
  </cols>
  <sheetData>
    <row r="1" spans="1:7" x14ac:dyDescent="0.25">
      <c r="B1" s="251" t="s">
        <v>110</v>
      </c>
      <c r="C1" s="247" t="s">
        <v>57</v>
      </c>
      <c r="D1" s="247" t="s">
        <v>58</v>
      </c>
      <c r="E1" s="6" t="s">
        <v>66</v>
      </c>
    </row>
    <row r="2" spans="1:7" x14ac:dyDescent="0.25">
      <c r="A2" s="37" t="s">
        <v>56</v>
      </c>
      <c r="B2" s="38">
        <f>Personnage!B51</f>
        <v>6</v>
      </c>
      <c r="C2" s="38">
        <f>SUM(C3:C11)</f>
        <v>0</v>
      </c>
      <c r="D2" s="38">
        <f>SUM(D3:D11)</f>
        <v>0</v>
      </c>
      <c r="E2" s="6">
        <f>10+MAGIE</f>
        <v>16</v>
      </c>
    </row>
    <row r="3" spans="1:7" x14ac:dyDescent="0.25">
      <c r="A3" s="9"/>
      <c r="B3" s="15">
        <f>C3-D3</f>
        <v>0</v>
      </c>
      <c r="C3" s="15"/>
      <c r="D3" s="8"/>
    </row>
    <row r="4" spans="1:7" x14ac:dyDescent="0.25">
      <c r="A4" s="9"/>
      <c r="B4" s="17">
        <f t="shared" ref="B4:B11" si="0">C4-D4</f>
        <v>0</v>
      </c>
      <c r="C4" s="17"/>
      <c r="D4" s="10"/>
    </row>
    <row r="5" spans="1:7" x14ac:dyDescent="0.25">
      <c r="A5" s="9"/>
      <c r="B5" s="17">
        <f t="shared" si="0"/>
        <v>0</v>
      </c>
      <c r="C5" s="17"/>
      <c r="D5" s="10"/>
    </row>
    <row r="6" spans="1:7" x14ac:dyDescent="0.25">
      <c r="A6" s="9"/>
      <c r="B6" s="17">
        <f t="shared" si="0"/>
        <v>0</v>
      </c>
      <c r="C6" s="249"/>
      <c r="D6" s="10"/>
    </row>
    <row r="7" spans="1:7" x14ac:dyDescent="0.25">
      <c r="A7" s="9"/>
      <c r="B7" s="17">
        <f t="shared" si="0"/>
        <v>0</v>
      </c>
      <c r="C7" s="17"/>
      <c r="D7" s="10"/>
    </row>
    <row r="8" spans="1:7" x14ac:dyDescent="0.25">
      <c r="A8" s="9"/>
      <c r="B8" s="17">
        <f t="shared" si="0"/>
        <v>0</v>
      </c>
      <c r="C8" s="17"/>
      <c r="D8" s="10"/>
    </row>
    <row r="9" spans="1:7" x14ac:dyDescent="0.25">
      <c r="A9" s="9"/>
      <c r="B9" s="17">
        <f t="shared" si="0"/>
        <v>0</v>
      </c>
      <c r="C9" s="17"/>
      <c r="D9" s="10"/>
    </row>
    <row r="10" spans="1:7" x14ac:dyDescent="0.25">
      <c r="A10" s="9"/>
      <c r="B10" s="17">
        <f t="shared" si="0"/>
        <v>0</v>
      </c>
      <c r="C10" s="17"/>
      <c r="D10" s="10"/>
    </row>
    <row r="11" spans="1:7" x14ac:dyDescent="0.25">
      <c r="A11" s="11"/>
      <c r="B11" s="18">
        <f t="shared" si="0"/>
        <v>0</v>
      </c>
      <c r="C11" s="18"/>
      <c r="D11" s="12"/>
    </row>
    <row r="12" spans="1:7" x14ac:dyDescent="0.25">
      <c r="F12" s="257"/>
      <c r="G12" s="257"/>
    </row>
    <row r="13" spans="1:7" x14ac:dyDescent="0.25">
      <c r="A13" s="38" t="s">
        <v>59</v>
      </c>
      <c r="B13" s="38">
        <f>Personnage!B52</f>
        <v>7</v>
      </c>
      <c r="C13" s="38">
        <f>SUM(C14:C21)</f>
        <v>1</v>
      </c>
      <c r="D13" s="38">
        <f>SUM(D14:D21)</f>
        <v>1</v>
      </c>
      <c r="E13" s="6">
        <f>11+MAGIE</f>
        <v>17</v>
      </c>
      <c r="F13" s="249"/>
      <c r="G13" s="249"/>
    </row>
    <row r="14" spans="1:7" x14ac:dyDescent="0.25">
      <c r="A14" s="7"/>
      <c r="B14" s="15">
        <f>C14-D14</f>
        <v>0</v>
      </c>
      <c r="C14" s="15"/>
      <c r="D14" s="8"/>
      <c r="F14" s="245"/>
      <c r="G14" s="245"/>
    </row>
    <row r="15" spans="1:7" x14ac:dyDescent="0.25">
      <c r="A15" s="9"/>
      <c r="B15" s="17">
        <f t="shared" ref="B15:B22" si="1">C15-D15</f>
        <v>0</v>
      </c>
      <c r="C15" s="17"/>
      <c r="D15" s="10"/>
    </row>
    <row r="16" spans="1:7" x14ac:dyDescent="0.25">
      <c r="A16" s="9" t="s">
        <v>362</v>
      </c>
      <c r="B16" s="17">
        <f t="shared" si="1"/>
        <v>0</v>
      </c>
      <c r="C16" s="17">
        <v>1</v>
      </c>
      <c r="D16" s="10">
        <v>1</v>
      </c>
    </row>
    <row r="17" spans="1:5" x14ac:dyDescent="0.25">
      <c r="A17" s="9"/>
      <c r="B17" s="17">
        <f t="shared" si="1"/>
        <v>0</v>
      </c>
      <c r="C17" s="249"/>
      <c r="D17" s="10"/>
    </row>
    <row r="18" spans="1:5" x14ac:dyDescent="0.25">
      <c r="A18" s="9"/>
      <c r="B18" s="17">
        <f t="shared" si="1"/>
        <v>0</v>
      </c>
      <c r="C18" s="20"/>
      <c r="D18" s="10"/>
    </row>
    <row r="19" spans="1:5" x14ac:dyDescent="0.25">
      <c r="A19" s="9"/>
      <c r="B19" s="17">
        <f t="shared" si="1"/>
        <v>0</v>
      </c>
      <c r="C19" s="17"/>
      <c r="D19" s="10"/>
    </row>
    <row r="20" spans="1:5" x14ac:dyDescent="0.25">
      <c r="A20" s="9"/>
      <c r="B20" s="17">
        <f t="shared" si="1"/>
        <v>0</v>
      </c>
      <c r="C20" s="17"/>
      <c r="D20" s="10"/>
    </row>
    <row r="21" spans="1:5" x14ac:dyDescent="0.25">
      <c r="A21" s="9"/>
      <c r="B21" s="17">
        <f t="shared" si="1"/>
        <v>0</v>
      </c>
      <c r="C21" s="17"/>
      <c r="D21" s="10"/>
    </row>
    <row r="22" spans="1:5" x14ac:dyDescent="0.25">
      <c r="A22" s="11"/>
      <c r="B22" s="18">
        <f t="shared" si="1"/>
        <v>0</v>
      </c>
      <c r="C22" s="18"/>
      <c r="D22" s="12"/>
    </row>
    <row r="24" spans="1:5" x14ac:dyDescent="0.25">
      <c r="A24" s="38" t="s">
        <v>60</v>
      </c>
      <c r="B24" s="38">
        <f>Personnage!B53</f>
        <v>7</v>
      </c>
      <c r="C24" s="38">
        <f>SUM(C25:C32)</f>
        <v>0</v>
      </c>
      <c r="D24" s="38">
        <f>SUM(D25:D32)</f>
        <v>0</v>
      </c>
      <c r="E24" s="6">
        <f>12+MAGIE</f>
        <v>18</v>
      </c>
    </row>
    <row r="25" spans="1:5" x14ac:dyDescent="0.25">
      <c r="A25" s="7"/>
      <c r="B25" s="15">
        <f>C25-D25</f>
        <v>0</v>
      </c>
      <c r="C25" s="15"/>
      <c r="D25" s="8"/>
    </row>
    <row r="26" spans="1:5" x14ac:dyDescent="0.25">
      <c r="A26" s="9"/>
      <c r="B26" s="17">
        <f t="shared" ref="B26:B33" si="2">C26-D26</f>
        <v>0</v>
      </c>
      <c r="C26" s="17"/>
      <c r="D26" s="10"/>
    </row>
    <row r="27" spans="1:5" x14ac:dyDescent="0.25">
      <c r="A27" s="9"/>
      <c r="B27" s="17">
        <f t="shared" si="2"/>
        <v>0</v>
      </c>
      <c r="C27" s="17"/>
      <c r="D27" s="10"/>
    </row>
    <row r="28" spans="1:5" x14ac:dyDescent="0.25">
      <c r="A28" s="9"/>
      <c r="B28" s="17">
        <f t="shared" si="2"/>
        <v>0</v>
      </c>
      <c r="C28" s="20"/>
      <c r="D28" s="10"/>
    </row>
    <row r="29" spans="1:5" x14ac:dyDescent="0.25">
      <c r="A29" s="9"/>
      <c r="B29" s="17">
        <f t="shared" si="2"/>
        <v>0</v>
      </c>
      <c r="C29" s="17"/>
      <c r="D29" s="10"/>
    </row>
    <row r="30" spans="1:5" x14ac:dyDescent="0.25">
      <c r="A30" s="9"/>
      <c r="B30" s="17">
        <f t="shared" si="2"/>
        <v>0</v>
      </c>
      <c r="C30" s="17"/>
      <c r="D30" s="10"/>
    </row>
    <row r="31" spans="1:5" x14ac:dyDescent="0.25">
      <c r="A31" s="9"/>
      <c r="B31" s="17">
        <f t="shared" si="2"/>
        <v>0</v>
      </c>
      <c r="C31" s="17"/>
      <c r="D31" s="10"/>
    </row>
    <row r="32" spans="1:5" x14ac:dyDescent="0.25">
      <c r="A32" s="9"/>
      <c r="B32" s="17">
        <f t="shared" si="2"/>
        <v>0</v>
      </c>
      <c r="C32" s="17"/>
      <c r="D32" s="10"/>
    </row>
    <row r="33" spans="1:5" x14ac:dyDescent="0.25">
      <c r="A33" s="11"/>
      <c r="B33" s="18">
        <f t="shared" si="2"/>
        <v>0</v>
      </c>
      <c r="C33" s="18"/>
      <c r="D33" s="12"/>
    </row>
    <row r="35" spans="1:5" x14ac:dyDescent="0.25">
      <c r="A35" s="38" t="s">
        <v>61</v>
      </c>
      <c r="B35" s="38">
        <f>Personnage!B54</f>
        <v>6</v>
      </c>
      <c r="C35" s="38">
        <f>SUM(C36:C43)</f>
        <v>2</v>
      </c>
      <c r="D35" s="38">
        <f>SUM(D36:D43)</f>
        <v>2</v>
      </c>
      <c r="E35" s="6">
        <f>13+MAGIE</f>
        <v>19</v>
      </c>
    </row>
    <row r="36" spans="1:5" x14ac:dyDescent="0.25">
      <c r="A36" s="7" t="s">
        <v>365</v>
      </c>
      <c r="B36" s="15">
        <f>C36-D36</f>
        <v>0</v>
      </c>
      <c r="C36" s="15">
        <v>2</v>
      </c>
      <c r="D36" s="8">
        <v>2</v>
      </c>
    </row>
    <row r="37" spans="1:5" x14ac:dyDescent="0.25">
      <c r="A37" s="9"/>
      <c r="B37" s="17">
        <f t="shared" ref="B37:B44" si="3">C37-D37</f>
        <v>0</v>
      </c>
      <c r="C37" s="17"/>
      <c r="D37" s="10"/>
    </row>
    <row r="38" spans="1:5" x14ac:dyDescent="0.25">
      <c r="A38" s="9"/>
      <c r="B38" s="17">
        <f t="shared" si="3"/>
        <v>0</v>
      </c>
      <c r="C38" s="20"/>
      <c r="D38" s="10"/>
    </row>
    <row r="39" spans="1:5" x14ac:dyDescent="0.25">
      <c r="A39" s="9"/>
      <c r="B39" s="17">
        <f t="shared" si="3"/>
        <v>0</v>
      </c>
      <c r="C39" s="20"/>
      <c r="D39" s="10"/>
    </row>
    <row r="40" spans="1:5" x14ac:dyDescent="0.25">
      <c r="A40" s="9"/>
      <c r="B40" s="17">
        <f t="shared" si="3"/>
        <v>0</v>
      </c>
      <c r="C40" s="17"/>
      <c r="D40" s="10"/>
    </row>
    <row r="41" spans="1:5" x14ac:dyDescent="0.25">
      <c r="A41" s="9"/>
      <c r="B41" s="17">
        <f t="shared" si="3"/>
        <v>0</v>
      </c>
      <c r="C41" s="17"/>
      <c r="D41" s="10"/>
    </row>
    <row r="42" spans="1:5" x14ac:dyDescent="0.25">
      <c r="A42" s="9"/>
      <c r="B42" s="17">
        <f t="shared" si="3"/>
        <v>0</v>
      </c>
      <c r="C42" s="17"/>
      <c r="D42" s="10"/>
    </row>
    <row r="43" spans="1:5" x14ac:dyDescent="0.25">
      <c r="A43" s="9"/>
      <c r="B43" s="17">
        <f t="shared" si="3"/>
        <v>0</v>
      </c>
      <c r="C43" s="17"/>
      <c r="D43" s="10"/>
    </row>
    <row r="44" spans="1:5" x14ac:dyDescent="0.25">
      <c r="A44" s="11"/>
      <c r="B44" s="18">
        <f t="shared" si="3"/>
        <v>0</v>
      </c>
      <c r="C44" s="18"/>
      <c r="D44" s="12"/>
    </row>
    <row r="46" spans="1:5" x14ac:dyDescent="0.25">
      <c r="A46" s="38" t="s">
        <v>62</v>
      </c>
      <c r="B46" s="38">
        <f>Personnage!B55</f>
        <v>4</v>
      </c>
      <c r="C46" s="38">
        <f>SUM(C47:C54)</f>
        <v>2</v>
      </c>
      <c r="D46" s="38">
        <f>SUM(D47:D54)</f>
        <v>2</v>
      </c>
      <c r="E46" s="6">
        <f>14+MAGIE</f>
        <v>20</v>
      </c>
    </row>
    <row r="47" spans="1:5" x14ac:dyDescent="0.25">
      <c r="A47" s="7" t="s">
        <v>363</v>
      </c>
      <c r="B47" s="15">
        <f>C47-D47</f>
        <v>0</v>
      </c>
      <c r="C47" s="15">
        <v>1</v>
      </c>
      <c r="D47" s="8">
        <v>1</v>
      </c>
    </row>
    <row r="48" spans="1:5" x14ac:dyDescent="0.25">
      <c r="A48" s="9" t="s">
        <v>364</v>
      </c>
      <c r="B48" s="17">
        <f t="shared" ref="B48:B55" si="4">C48-D48</f>
        <v>0</v>
      </c>
      <c r="C48" s="17">
        <v>1</v>
      </c>
      <c r="D48" s="10">
        <v>1</v>
      </c>
    </row>
    <row r="49" spans="1:5" x14ac:dyDescent="0.25">
      <c r="A49" s="9"/>
      <c r="B49" s="17">
        <f t="shared" si="4"/>
        <v>0</v>
      </c>
      <c r="C49" s="17"/>
      <c r="D49" s="10"/>
    </row>
    <row r="50" spans="1:5" x14ac:dyDescent="0.25">
      <c r="A50" s="9"/>
      <c r="B50" s="17">
        <f t="shared" si="4"/>
        <v>0</v>
      </c>
      <c r="C50" s="17"/>
      <c r="D50" s="10"/>
    </row>
    <row r="51" spans="1:5" x14ac:dyDescent="0.25">
      <c r="A51" s="9"/>
      <c r="B51" s="17">
        <f t="shared" si="4"/>
        <v>0</v>
      </c>
      <c r="C51" s="17"/>
      <c r="D51" s="10"/>
    </row>
    <row r="52" spans="1:5" x14ac:dyDescent="0.25">
      <c r="A52" s="9"/>
      <c r="B52" s="17">
        <f t="shared" si="4"/>
        <v>0</v>
      </c>
      <c r="C52" s="17"/>
      <c r="D52" s="10"/>
    </row>
    <row r="53" spans="1:5" x14ac:dyDescent="0.25">
      <c r="A53" s="9"/>
      <c r="B53" s="17">
        <f t="shared" si="4"/>
        <v>0</v>
      </c>
      <c r="C53" s="17"/>
      <c r="D53" s="10"/>
    </row>
    <row r="54" spans="1:5" x14ac:dyDescent="0.25">
      <c r="A54" s="9"/>
      <c r="B54" s="17">
        <f t="shared" si="4"/>
        <v>0</v>
      </c>
      <c r="C54" s="17"/>
      <c r="D54" s="10"/>
    </row>
    <row r="55" spans="1:5" x14ac:dyDescent="0.25">
      <c r="A55" s="11"/>
      <c r="B55" s="18">
        <f t="shared" si="4"/>
        <v>0</v>
      </c>
      <c r="C55" s="18"/>
      <c r="D55" s="12"/>
    </row>
    <row r="57" spans="1:5" x14ac:dyDescent="0.25">
      <c r="A57" s="38" t="s">
        <v>63</v>
      </c>
      <c r="B57" s="38">
        <f>Personnage!B56</f>
        <v>4</v>
      </c>
      <c r="C57" s="38">
        <f>SUM(C58:C65)</f>
        <v>0</v>
      </c>
      <c r="D57" s="38">
        <f>SUM(D58:D65)</f>
        <v>0</v>
      </c>
      <c r="E57" s="6">
        <f>15+MAGIE</f>
        <v>21</v>
      </c>
    </row>
    <row r="58" spans="1:5" x14ac:dyDescent="0.25">
      <c r="A58" s="21"/>
      <c r="B58" s="15">
        <f>C58-D58</f>
        <v>0</v>
      </c>
      <c r="C58" s="15"/>
      <c r="D58" s="8"/>
    </row>
    <row r="59" spans="1:5" x14ac:dyDescent="0.25">
      <c r="A59" s="9"/>
      <c r="B59" s="17">
        <f t="shared" ref="B59:B66" si="5">C59-D59</f>
        <v>0</v>
      </c>
      <c r="C59" s="17"/>
      <c r="D59" s="10"/>
    </row>
    <row r="60" spans="1:5" x14ac:dyDescent="0.25">
      <c r="A60" s="9"/>
      <c r="B60" s="17">
        <f t="shared" si="5"/>
        <v>0</v>
      </c>
      <c r="C60" s="17"/>
      <c r="D60" s="10"/>
    </row>
    <row r="61" spans="1:5" x14ac:dyDescent="0.25">
      <c r="A61" s="9"/>
      <c r="B61" s="17">
        <f t="shared" si="5"/>
        <v>0</v>
      </c>
      <c r="C61" s="17"/>
      <c r="D61" s="10"/>
    </row>
    <row r="62" spans="1:5" x14ac:dyDescent="0.25">
      <c r="A62" s="9"/>
      <c r="B62" s="17">
        <f t="shared" si="5"/>
        <v>0</v>
      </c>
      <c r="C62" s="17"/>
      <c r="D62" s="10"/>
    </row>
    <row r="63" spans="1:5" x14ac:dyDescent="0.25">
      <c r="A63" s="9"/>
      <c r="B63" s="17">
        <f t="shared" si="5"/>
        <v>0</v>
      </c>
      <c r="C63" s="17"/>
      <c r="D63" s="10"/>
    </row>
    <row r="64" spans="1:5" x14ac:dyDescent="0.25">
      <c r="A64" s="9"/>
      <c r="B64" s="17">
        <f t="shared" si="5"/>
        <v>0</v>
      </c>
      <c r="C64" s="17"/>
      <c r="D64" s="10"/>
    </row>
    <row r="65" spans="1:5" x14ac:dyDescent="0.25">
      <c r="A65" s="9"/>
      <c r="B65" s="17">
        <f t="shared" si="5"/>
        <v>0</v>
      </c>
      <c r="C65" s="17"/>
      <c r="D65" s="10"/>
    </row>
    <row r="66" spans="1:5" x14ac:dyDescent="0.25">
      <c r="A66" s="11"/>
      <c r="B66" s="18">
        <f t="shared" si="5"/>
        <v>0</v>
      </c>
      <c r="C66" s="18"/>
      <c r="D66" s="12"/>
    </row>
    <row r="68" spans="1:5" x14ac:dyDescent="0.25">
      <c r="A68" s="38" t="s">
        <v>64</v>
      </c>
      <c r="B68" s="38">
        <f>Personnage!B57</f>
        <v>3</v>
      </c>
      <c r="C68" s="38">
        <f>SUM(C69:C76)</f>
        <v>1</v>
      </c>
      <c r="D68" s="38">
        <f>SUM(D69:D76)</f>
        <v>1</v>
      </c>
      <c r="E68" s="6">
        <f>16+MAGIE</f>
        <v>22</v>
      </c>
    </row>
    <row r="69" spans="1:5" x14ac:dyDescent="0.25">
      <c r="A69" s="7" t="s">
        <v>366</v>
      </c>
      <c r="B69" s="15">
        <f>C69-D69</f>
        <v>0</v>
      </c>
      <c r="C69" s="15">
        <v>1</v>
      </c>
      <c r="D69" s="8">
        <v>1</v>
      </c>
    </row>
    <row r="70" spans="1:5" x14ac:dyDescent="0.25">
      <c r="A70" s="9"/>
      <c r="B70" s="17">
        <f t="shared" ref="B70:B77" si="6">C70-D70</f>
        <v>0</v>
      </c>
      <c r="C70" s="17"/>
      <c r="D70" s="10"/>
    </row>
    <row r="71" spans="1:5" x14ac:dyDescent="0.25">
      <c r="A71" s="9"/>
      <c r="B71" s="17">
        <f t="shared" si="6"/>
        <v>0</v>
      </c>
      <c r="C71" s="17"/>
      <c r="D71" s="10"/>
    </row>
    <row r="72" spans="1:5" x14ac:dyDescent="0.25">
      <c r="A72" s="9"/>
      <c r="B72" s="17">
        <f t="shared" si="6"/>
        <v>0</v>
      </c>
      <c r="C72" s="17"/>
      <c r="D72" s="10"/>
    </row>
    <row r="73" spans="1:5" x14ac:dyDescent="0.25">
      <c r="A73" s="9"/>
      <c r="B73" s="17">
        <f t="shared" si="6"/>
        <v>0</v>
      </c>
      <c r="C73" s="17"/>
      <c r="D73" s="10"/>
    </row>
    <row r="74" spans="1:5" x14ac:dyDescent="0.25">
      <c r="A74" s="9"/>
      <c r="B74" s="17">
        <f t="shared" si="6"/>
        <v>0</v>
      </c>
      <c r="C74" s="17"/>
      <c r="D74" s="10"/>
    </row>
    <row r="75" spans="1:5" x14ac:dyDescent="0.25">
      <c r="A75" s="9"/>
      <c r="B75" s="17">
        <f t="shared" si="6"/>
        <v>0</v>
      </c>
      <c r="C75" s="17"/>
      <c r="D75" s="10"/>
    </row>
    <row r="76" spans="1:5" x14ac:dyDescent="0.25">
      <c r="A76" s="9"/>
      <c r="B76" s="17">
        <f t="shared" si="6"/>
        <v>0</v>
      </c>
      <c r="C76" s="17"/>
      <c r="D76" s="10"/>
    </row>
    <row r="77" spans="1:5" x14ac:dyDescent="0.25">
      <c r="A77" s="11"/>
      <c r="B77" s="18">
        <f t="shared" si="6"/>
        <v>0</v>
      </c>
      <c r="C77" s="18"/>
      <c r="D77" s="12"/>
    </row>
    <row r="79" spans="1:5" x14ac:dyDescent="0.25">
      <c r="A79" s="38" t="s">
        <v>65</v>
      </c>
      <c r="B79" s="38">
        <f>Personnage!B58</f>
        <v>0</v>
      </c>
      <c r="C79" s="38">
        <f>SUM(C80:C87)</f>
        <v>0</v>
      </c>
      <c r="D79" s="38">
        <f>SUM(D80:D87)</f>
        <v>0</v>
      </c>
      <c r="E79" s="6">
        <f>17+MAGIE</f>
        <v>23</v>
      </c>
    </row>
    <row r="80" spans="1:5" x14ac:dyDescent="0.25">
      <c r="A80" s="7"/>
      <c r="B80" s="15">
        <f>C80-D80</f>
        <v>0</v>
      </c>
      <c r="C80" s="15"/>
      <c r="D80" s="8"/>
    </row>
    <row r="81" spans="1:5" x14ac:dyDescent="0.25">
      <c r="A81" s="9"/>
      <c r="B81" s="17">
        <f t="shared" ref="B81:B88" si="7">C81-D81</f>
        <v>0</v>
      </c>
      <c r="C81" s="17"/>
      <c r="D81" s="10"/>
    </row>
    <row r="82" spans="1:5" x14ac:dyDescent="0.25">
      <c r="A82" s="9"/>
      <c r="B82" s="17">
        <f t="shared" si="7"/>
        <v>0</v>
      </c>
      <c r="C82" s="17"/>
      <c r="D82" s="10"/>
    </row>
    <row r="83" spans="1:5" x14ac:dyDescent="0.25">
      <c r="A83" s="9"/>
      <c r="B83" s="17">
        <f t="shared" si="7"/>
        <v>0</v>
      </c>
      <c r="C83" s="17"/>
      <c r="D83" s="10"/>
    </row>
    <row r="84" spans="1:5" x14ac:dyDescent="0.25">
      <c r="A84" s="9"/>
      <c r="B84" s="17">
        <f t="shared" si="7"/>
        <v>0</v>
      </c>
      <c r="C84" s="17"/>
      <c r="D84" s="10"/>
    </row>
    <row r="85" spans="1:5" x14ac:dyDescent="0.25">
      <c r="A85" s="9"/>
      <c r="B85" s="17">
        <f t="shared" si="7"/>
        <v>0</v>
      </c>
      <c r="C85" s="17"/>
      <c r="D85" s="10"/>
    </row>
    <row r="86" spans="1:5" x14ac:dyDescent="0.25">
      <c r="A86" s="9"/>
      <c r="B86" s="17">
        <f t="shared" si="7"/>
        <v>0</v>
      </c>
      <c r="C86" s="17"/>
      <c r="D86" s="10"/>
    </row>
    <row r="87" spans="1:5" x14ac:dyDescent="0.25">
      <c r="A87" s="9"/>
      <c r="B87" s="17">
        <f t="shared" si="7"/>
        <v>0</v>
      </c>
      <c r="C87" s="17"/>
      <c r="D87" s="10"/>
    </row>
    <row r="88" spans="1:5" x14ac:dyDescent="0.25">
      <c r="A88" s="11"/>
      <c r="B88" s="18">
        <f t="shared" si="7"/>
        <v>0</v>
      </c>
      <c r="C88" s="18"/>
      <c r="D88" s="12"/>
    </row>
    <row r="90" spans="1:5" x14ac:dyDescent="0.25">
      <c r="A90" s="38" t="s">
        <v>235</v>
      </c>
      <c r="B90" s="38">
        <f>Personnage!B59</f>
        <v>0</v>
      </c>
      <c r="C90" s="38">
        <f>SUM(C91:C98)</f>
        <v>0</v>
      </c>
      <c r="D90" s="38">
        <f>SUM(D91:D98)</f>
        <v>0</v>
      </c>
      <c r="E90" s="6">
        <f>18+MAGIE</f>
        <v>24</v>
      </c>
    </row>
    <row r="91" spans="1:5" x14ac:dyDescent="0.25">
      <c r="A91" s="169"/>
      <c r="B91" s="30">
        <f>C91-D91</f>
        <v>0</v>
      </c>
      <c r="C91" s="30"/>
      <c r="D91" s="8"/>
    </row>
    <row r="92" spans="1:5" x14ac:dyDescent="0.25">
      <c r="A92" s="170"/>
      <c r="B92" s="161">
        <f t="shared" ref="B92:B99" si="8">C92-D92</f>
        <v>0</v>
      </c>
      <c r="C92" s="161"/>
      <c r="D92" s="10"/>
    </row>
    <row r="93" spans="1:5" x14ac:dyDescent="0.25">
      <c r="A93" s="170"/>
      <c r="B93" s="161">
        <f t="shared" si="8"/>
        <v>0</v>
      </c>
      <c r="C93" s="161"/>
      <c r="D93" s="10"/>
    </row>
    <row r="94" spans="1:5" x14ac:dyDescent="0.25">
      <c r="A94" s="170"/>
      <c r="B94" s="161">
        <f t="shared" si="8"/>
        <v>0</v>
      </c>
      <c r="C94" s="161"/>
      <c r="D94" s="10"/>
    </row>
    <row r="95" spans="1:5" x14ac:dyDescent="0.25">
      <c r="A95" s="170"/>
      <c r="B95" s="161">
        <f t="shared" si="8"/>
        <v>0</v>
      </c>
      <c r="C95" s="161"/>
      <c r="D95" s="10"/>
    </row>
    <row r="96" spans="1:5" x14ac:dyDescent="0.25">
      <c r="A96" s="170"/>
      <c r="B96" s="161">
        <f t="shared" si="8"/>
        <v>0</v>
      </c>
      <c r="C96" s="161"/>
      <c r="D96" s="10"/>
    </row>
    <row r="97" spans="1:5" x14ac:dyDescent="0.25">
      <c r="A97" s="170"/>
      <c r="B97" s="161">
        <f t="shared" si="8"/>
        <v>0</v>
      </c>
      <c r="C97" s="161"/>
      <c r="D97" s="10"/>
    </row>
    <row r="98" spans="1:5" x14ac:dyDescent="0.25">
      <c r="A98" s="170"/>
      <c r="B98" s="161">
        <f t="shared" si="8"/>
        <v>0</v>
      </c>
      <c r="C98" s="161"/>
      <c r="D98" s="10"/>
    </row>
    <row r="99" spans="1:5" x14ac:dyDescent="0.25">
      <c r="A99" s="171"/>
      <c r="B99" s="29">
        <f t="shared" si="8"/>
        <v>0</v>
      </c>
      <c r="C99" s="29"/>
      <c r="D99" s="12"/>
    </row>
    <row r="101" spans="1:5" x14ac:dyDescent="0.25">
      <c r="A101" s="38" t="s">
        <v>236</v>
      </c>
      <c r="B101" s="38">
        <f>Personnage!B60</f>
        <v>0</v>
      </c>
      <c r="C101" s="38">
        <f>SUM(C102:C109)</f>
        <v>0</v>
      </c>
      <c r="D101" s="38">
        <f>SUM(D102:D109)</f>
        <v>0</v>
      </c>
      <c r="E101" s="6">
        <f>19+MAGIE</f>
        <v>25</v>
      </c>
    </row>
    <row r="102" spans="1:5" x14ac:dyDescent="0.25">
      <c r="A102" s="169"/>
      <c r="B102" s="30">
        <f>C102-D102</f>
        <v>0</v>
      </c>
      <c r="C102" s="30"/>
      <c r="D102" s="8"/>
    </row>
    <row r="103" spans="1:5" x14ac:dyDescent="0.25">
      <c r="A103" s="170"/>
      <c r="B103" s="161">
        <f t="shared" ref="B103:B110" si="9">C103-D103</f>
        <v>0</v>
      </c>
      <c r="C103" s="161"/>
      <c r="D103" s="10"/>
    </row>
    <row r="104" spans="1:5" x14ac:dyDescent="0.25">
      <c r="A104" s="170"/>
      <c r="B104" s="161">
        <f t="shared" si="9"/>
        <v>0</v>
      </c>
      <c r="C104" s="161"/>
      <c r="D104" s="10"/>
    </row>
    <row r="105" spans="1:5" x14ac:dyDescent="0.25">
      <c r="A105" s="170"/>
      <c r="B105" s="161">
        <f t="shared" si="9"/>
        <v>0</v>
      </c>
      <c r="C105" s="161"/>
      <c r="D105" s="10"/>
    </row>
    <row r="106" spans="1:5" x14ac:dyDescent="0.25">
      <c r="A106" s="170"/>
      <c r="B106" s="161">
        <f t="shared" si="9"/>
        <v>0</v>
      </c>
      <c r="C106" s="161"/>
      <c r="D106" s="10"/>
    </row>
    <row r="107" spans="1:5" x14ac:dyDescent="0.25">
      <c r="A107" s="170"/>
      <c r="B107" s="161">
        <f t="shared" si="9"/>
        <v>0</v>
      </c>
      <c r="C107" s="161"/>
      <c r="D107" s="10"/>
    </row>
    <row r="108" spans="1:5" x14ac:dyDescent="0.25">
      <c r="A108" s="170"/>
      <c r="B108" s="161">
        <f t="shared" si="9"/>
        <v>0</v>
      </c>
      <c r="C108" s="161"/>
      <c r="D108" s="10"/>
    </row>
    <row r="109" spans="1:5" x14ac:dyDescent="0.25">
      <c r="A109" s="170"/>
      <c r="B109" s="161">
        <f t="shared" si="9"/>
        <v>0</v>
      </c>
      <c r="C109" s="161"/>
      <c r="D109" s="10"/>
    </row>
    <row r="110" spans="1:5" x14ac:dyDescent="0.25">
      <c r="A110" s="171"/>
      <c r="B110" s="29">
        <f t="shared" si="9"/>
        <v>0</v>
      </c>
      <c r="C110" s="29"/>
      <c r="D110" s="12"/>
    </row>
  </sheetData>
  <phoneticPr fontId="0" type="noConversion"/>
  <conditionalFormatting sqref="G13">
    <cfRule type="cellIs" dxfId="3" priority="1" operator="equal">
      <formula>"Utilisée"</formula>
    </cfRule>
    <cfRule type="cellIs" dxfId="2" priority="2" operator="equal">
      <formula>"Libre"</formula>
    </cfRule>
  </conditionalFormatting>
  <conditionalFormatting sqref="B2:B111">
    <cfRule type="cellIs" dxfId="1" priority="3" operator="lessThanOrEqual">
      <formula>0</formula>
    </cfRule>
    <cfRule type="cellIs" dxfId="0" priority="4" operator="greaterThan">
      <formula>0</formula>
    </cfRule>
  </conditionalFormatting>
  <dataValidations count="1">
    <dataValidation type="list" allowBlank="1" showInputMessage="1" showErrorMessage="1" sqref="G13">
      <formula1>"Libre,Utilisée"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30"/>
  <sheetViews>
    <sheetView workbookViewId="0">
      <selection activeCell="H25" activeCellId="1" sqref="A2:XFD2 H25"/>
    </sheetView>
  </sheetViews>
  <sheetFormatPr baseColWidth="10" defaultRowHeight="15" x14ac:dyDescent="0.25"/>
  <cols>
    <col min="3" max="3" width="13.28515625" bestFit="1" customWidth="1"/>
  </cols>
  <sheetData>
    <row r="1" spans="1:4" x14ac:dyDescent="0.25">
      <c r="A1" s="259" t="s">
        <v>17</v>
      </c>
      <c r="B1" s="260" t="s">
        <v>221</v>
      </c>
      <c r="C1" s="260" t="s">
        <v>220</v>
      </c>
      <c r="D1" s="261" t="s">
        <v>222</v>
      </c>
    </row>
    <row r="2" spans="1:4" x14ac:dyDescent="0.25">
      <c r="A2" s="253">
        <v>1</v>
      </c>
      <c r="B2" s="257">
        <v>1.5</v>
      </c>
      <c r="C2" s="257">
        <v>3</v>
      </c>
      <c r="D2" s="254">
        <v>5</v>
      </c>
    </row>
    <row r="3" spans="1:4" x14ac:dyDescent="0.25">
      <c r="A3" s="253">
        <v>2</v>
      </c>
      <c r="B3" s="257">
        <v>3</v>
      </c>
      <c r="C3" s="257">
        <v>6.5</v>
      </c>
      <c r="D3" s="254">
        <v>10</v>
      </c>
    </row>
    <row r="4" spans="1:4" x14ac:dyDescent="0.25">
      <c r="A4" s="253">
        <v>3</v>
      </c>
      <c r="B4" s="257">
        <v>5</v>
      </c>
      <c r="C4" s="257">
        <v>10</v>
      </c>
      <c r="D4" s="254">
        <v>15</v>
      </c>
    </row>
    <row r="5" spans="1:4" x14ac:dyDescent="0.25">
      <c r="A5" s="253">
        <v>4</v>
      </c>
      <c r="B5" s="257">
        <v>6.5</v>
      </c>
      <c r="C5" s="257">
        <v>13</v>
      </c>
      <c r="D5" s="254">
        <v>20</v>
      </c>
    </row>
    <row r="6" spans="1:4" x14ac:dyDescent="0.25">
      <c r="A6" s="253">
        <v>5</v>
      </c>
      <c r="B6" s="257">
        <v>8</v>
      </c>
      <c r="C6" s="257">
        <v>16.5</v>
      </c>
      <c r="D6" s="254">
        <v>25</v>
      </c>
    </row>
    <row r="7" spans="1:4" x14ac:dyDescent="0.25">
      <c r="A7" s="253">
        <v>6</v>
      </c>
      <c r="B7" s="257">
        <v>10</v>
      </c>
      <c r="C7" s="257">
        <v>20</v>
      </c>
      <c r="D7" s="254">
        <v>30</v>
      </c>
    </row>
    <row r="8" spans="1:4" x14ac:dyDescent="0.25">
      <c r="A8" s="253">
        <v>7</v>
      </c>
      <c r="B8" s="257">
        <v>11.5</v>
      </c>
      <c r="C8" s="257">
        <v>23</v>
      </c>
      <c r="D8" s="254">
        <v>35</v>
      </c>
    </row>
    <row r="9" spans="1:4" x14ac:dyDescent="0.25">
      <c r="A9" s="253">
        <v>8</v>
      </c>
      <c r="B9" s="257">
        <v>13</v>
      </c>
      <c r="C9" s="257">
        <v>26.5</v>
      </c>
      <c r="D9" s="254">
        <v>40</v>
      </c>
    </row>
    <row r="10" spans="1:4" x14ac:dyDescent="0.25">
      <c r="A10" s="253">
        <v>9</v>
      </c>
      <c r="B10" s="257">
        <v>15</v>
      </c>
      <c r="C10" s="257">
        <v>30</v>
      </c>
      <c r="D10" s="254">
        <v>45</v>
      </c>
    </row>
    <row r="11" spans="1:4" x14ac:dyDescent="0.25">
      <c r="A11" s="253">
        <v>10</v>
      </c>
      <c r="B11" s="257">
        <v>17.5</v>
      </c>
      <c r="C11" s="257">
        <v>33</v>
      </c>
      <c r="D11" s="254">
        <v>50</v>
      </c>
    </row>
    <row r="12" spans="1:4" x14ac:dyDescent="0.25">
      <c r="A12" s="253">
        <v>11</v>
      </c>
      <c r="B12" s="257">
        <v>19</v>
      </c>
      <c r="C12" s="257">
        <v>38</v>
      </c>
      <c r="D12" s="254">
        <v>57.5</v>
      </c>
    </row>
    <row r="13" spans="1:4" x14ac:dyDescent="0.25">
      <c r="A13" s="253">
        <v>12</v>
      </c>
      <c r="B13" s="257">
        <v>21.5</v>
      </c>
      <c r="C13" s="257">
        <v>43</v>
      </c>
      <c r="D13" s="254">
        <v>65</v>
      </c>
    </row>
    <row r="14" spans="1:4" x14ac:dyDescent="0.25">
      <c r="A14" s="253">
        <v>13</v>
      </c>
      <c r="B14" s="257">
        <v>25</v>
      </c>
      <c r="C14" s="257">
        <v>50</v>
      </c>
      <c r="D14" s="254">
        <v>75</v>
      </c>
    </row>
    <row r="15" spans="1:4" x14ac:dyDescent="0.25">
      <c r="A15" s="253">
        <v>14</v>
      </c>
      <c r="B15" s="257">
        <v>29</v>
      </c>
      <c r="C15" s="257">
        <v>58</v>
      </c>
      <c r="D15" s="254">
        <v>87.5</v>
      </c>
    </row>
    <row r="16" spans="1:4" x14ac:dyDescent="0.25">
      <c r="A16" s="253">
        <v>15</v>
      </c>
      <c r="B16" s="257">
        <v>33</v>
      </c>
      <c r="C16" s="257">
        <v>66.5</v>
      </c>
      <c r="D16" s="254">
        <v>100</v>
      </c>
    </row>
    <row r="17" spans="1:4" x14ac:dyDescent="0.25">
      <c r="A17" s="253">
        <v>16</v>
      </c>
      <c r="B17" s="257">
        <v>38</v>
      </c>
      <c r="C17" s="257">
        <v>76.5</v>
      </c>
      <c r="D17" s="254">
        <v>115</v>
      </c>
    </row>
    <row r="18" spans="1:4" x14ac:dyDescent="0.25">
      <c r="A18" s="253">
        <v>17</v>
      </c>
      <c r="B18" s="257">
        <v>43</v>
      </c>
      <c r="C18" s="257">
        <v>86.5</v>
      </c>
      <c r="D18" s="254">
        <v>130</v>
      </c>
    </row>
    <row r="19" spans="1:4" x14ac:dyDescent="0.25">
      <c r="A19" s="253">
        <v>18</v>
      </c>
      <c r="B19" s="257">
        <v>50</v>
      </c>
      <c r="C19" s="257">
        <v>100</v>
      </c>
      <c r="D19" s="254">
        <v>150</v>
      </c>
    </row>
    <row r="20" spans="1:4" x14ac:dyDescent="0.25">
      <c r="A20" s="253">
        <v>19</v>
      </c>
      <c r="B20" s="257">
        <v>58</v>
      </c>
      <c r="C20" s="257">
        <v>116.5</v>
      </c>
      <c r="D20" s="254">
        <v>175</v>
      </c>
    </row>
    <row r="21" spans="1:4" x14ac:dyDescent="0.25">
      <c r="A21" s="253">
        <v>20</v>
      </c>
      <c r="B21" s="257">
        <v>66.5</v>
      </c>
      <c r="C21" s="257">
        <v>133</v>
      </c>
      <c r="D21" s="254">
        <v>200</v>
      </c>
    </row>
    <row r="22" spans="1:4" x14ac:dyDescent="0.25">
      <c r="A22" s="253">
        <v>21</v>
      </c>
      <c r="B22" s="257">
        <v>76.5</v>
      </c>
      <c r="C22" s="257">
        <v>153</v>
      </c>
      <c r="D22" s="254">
        <v>130</v>
      </c>
    </row>
    <row r="23" spans="1:4" x14ac:dyDescent="0.25">
      <c r="A23" s="253">
        <v>22</v>
      </c>
      <c r="B23" s="257">
        <v>86.5</v>
      </c>
      <c r="C23" s="257">
        <v>173</v>
      </c>
      <c r="D23" s="254">
        <v>260</v>
      </c>
    </row>
    <row r="24" spans="1:4" x14ac:dyDescent="0.25">
      <c r="A24" s="253">
        <v>23</v>
      </c>
      <c r="B24" s="257">
        <v>100</v>
      </c>
      <c r="C24" s="257">
        <v>200</v>
      </c>
      <c r="D24" s="254">
        <v>300</v>
      </c>
    </row>
    <row r="25" spans="1:4" x14ac:dyDescent="0.25">
      <c r="A25" s="253">
        <v>24</v>
      </c>
      <c r="B25" s="257">
        <v>116.5</v>
      </c>
      <c r="C25" s="257">
        <v>233</v>
      </c>
      <c r="D25" s="254">
        <v>350</v>
      </c>
    </row>
    <row r="26" spans="1:4" x14ac:dyDescent="0.25">
      <c r="A26" s="253">
        <v>25</v>
      </c>
      <c r="B26" s="257">
        <v>133</v>
      </c>
      <c r="C26" s="257">
        <v>266.5</v>
      </c>
      <c r="D26" s="254">
        <v>400</v>
      </c>
    </row>
    <row r="27" spans="1:4" x14ac:dyDescent="0.25">
      <c r="A27" s="253">
        <v>26</v>
      </c>
      <c r="B27" s="257">
        <v>153</v>
      </c>
      <c r="C27" s="257">
        <v>306.5</v>
      </c>
      <c r="D27" s="254">
        <v>460</v>
      </c>
    </row>
    <row r="28" spans="1:4" x14ac:dyDescent="0.25">
      <c r="A28" s="253">
        <v>27</v>
      </c>
      <c r="B28" s="257">
        <v>173</v>
      </c>
      <c r="C28" s="257">
        <v>346.5</v>
      </c>
      <c r="D28" s="254">
        <v>520</v>
      </c>
    </row>
    <row r="29" spans="1:4" x14ac:dyDescent="0.25">
      <c r="A29" s="253">
        <v>28</v>
      </c>
      <c r="B29" s="257">
        <v>200</v>
      </c>
      <c r="C29" s="257">
        <v>400</v>
      </c>
      <c r="D29" s="254">
        <v>600</v>
      </c>
    </row>
    <row r="30" spans="1:4" x14ac:dyDescent="0.25">
      <c r="A30" s="255">
        <v>29</v>
      </c>
      <c r="B30" s="258">
        <v>233</v>
      </c>
      <c r="C30" s="258">
        <v>466.5</v>
      </c>
      <c r="D30" s="256">
        <v>700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95</vt:i4>
      </vt:variant>
    </vt:vector>
  </HeadingPairs>
  <TitlesOfParts>
    <vt:vector size="102" baseType="lpstr">
      <vt:lpstr>Personnage</vt:lpstr>
      <vt:lpstr>Compétences</vt:lpstr>
      <vt:lpstr>Equipement</vt:lpstr>
      <vt:lpstr>Formes animales</vt:lpstr>
      <vt:lpstr>Compagnon animal</vt:lpstr>
      <vt:lpstr>Sorts</vt:lpstr>
      <vt:lpstr>Ref</vt:lpstr>
      <vt:lpstr>ACROBATIES</vt:lpstr>
      <vt:lpstr>ART_MAGIE</vt:lpstr>
      <vt:lpstr>ARTISANAT</vt:lpstr>
      <vt:lpstr>BBA</vt:lpstr>
      <vt:lpstr>BLUFF</vt:lpstr>
      <vt:lpstr>C_ARCHI</vt:lpstr>
      <vt:lpstr>C_EXPLO</vt:lpstr>
      <vt:lpstr>C_FOLK</vt:lpstr>
      <vt:lpstr>C_GEO</vt:lpstr>
      <vt:lpstr>C_HIST</vt:lpstr>
      <vt:lpstr>C_MYST</vt:lpstr>
      <vt:lpstr>C_NATURE</vt:lpstr>
      <vt:lpstr>C_NOBLESSE</vt:lpstr>
      <vt:lpstr>C_PLANS</vt:lpstr>
      <vt:lpstr>C_RELIGION</vt:lpstr>
      <vt:lpstr>CA</vt:lpstr>
      <vt:lpstr>CHA</vt:lpstr>
      <vt:lpstr>CHARGE</vt:lpstr>
      <vt:lpstr>CLASSE1</vt:lpstr>
      <vt:lpstr>CLASSE2</vt:lpstr>
      <vt:lpstr>CLASSE3</vt:lpstr>
      <vt:lpstr>CON</vt:lpstr>
      <vt:lpstr>CONTACT</vt:lpstr>
      <vt:lpstr>CONTREFACON</vt:lpstr>
      <vt:lpstr>CROCHETAGE</vt:lpstr>
      <vt:lpstr>CROISSANCE</vt:lpstr>
      <vt:lpstr>DECRYPT</vt:lpstr>
      <vt:lpstr>DEF_TOTALE</vt:lpstr>
      <vt:lpstr>DEGUISE</vt:lpstr>
      <vt:lpstr>DEP_SIL</vt:lpstr>
      <vt:lpstr>DEPOURVU</vt:lpstr>
      <vt:lpstr>DESAMORCE</vt:lpstr>
      <vt:lpstr>DETECTION</vt:lpstr>
      <vt:lpstr>DEX</vt:lpstr>
      <vt:lpstr>DEX_MAX</vt:lpstr>
      <vt:lpstr>DEX_MAX_ARMURE</vt:lpstr>
      <vt:lpstr>DEX_MAX_ENCOMB</vt:lpstr>
      <vt:lpstr>DIPLO</vt:lpstr>
      <vt:lpstr>DISCRETION</vt:lpstr>
      <vt:lpstr>DISTANCE</vt:lpstr>
      <vt:lpstr>DRESSAGE</vt:lpstr>
      <vt:lpstr>EQUILIBRE</vt:lpstr>
      <vt:lpstr>EQUITATION</vt:lpstr>
      <vt:lpstr>ESCALADE</vt:lpstr>
      <vt:lpstr>ESCAMO</vt:lpstr>
      <vt:lpstr>ESTIMATION</vt:lpstr>
      <vt:lpstr>EVASION</vt:lpstr>
      <vt:lpstr>FA</vt:lpstr>
      <vt:lpstr>FOR</vt:lpstr>
      <vt:lpstr>FORCE_TOTAL</vt:lpstr>
      <vt:lpstr>FORME_ANIMALE</vt:lpstr>
      <vt:lpstr>FOUILLE</vt:lpstr>
      <vt:lpstr>INT</vt:lpstr>
      <vt:lpstr>INT_ALT</vt:lpstr>
      <vt:lpstr>INTERMEDIAIRE</vt:lpstr>
      <vt:lpstr>INTIMID</vt:lpstr>
      <vt:lpstr>LANGUE</vt:lpstr>
      <vt:lpstr>LEGERE</vt:lpstr>
      <vt:lpstr>LOURDE</vt:lpstr>
      <vt:lpstr>LUTTE</vt:lpstr>
      <vt:lpstr>M_CORDES</vt:lpstr>
      <vt:lpstr>MAGIE</vt:lpstr>
      <vt:lpstr>MALUS_TESTS</vt:lpstr>
      <vt:lpstr>MALUS_TESTS_ARMURE</vt:lpstr>
      <vt:lpstr>MALUS_TESTS_ENCOMB</vt:lpstr>
      <vt:lpstr>MARTIAL</vt:lpstr>
      <vt:lpstr>NATATION</vt:lpstr>
      <vt:lpstr>NGE</vt:lpstr>
      <vt:lpstr>NIV_CLASSE1</vt:lpstr>
      <vt:lpstr>NIV_CLASSE2</vt:lpstr>
      <vt:lpstr>NIV_CLASSE3</vt:lpstr>
      <vt:lpstr>NLS</vt:lpstr>
      <vt:lpstr>P_AUDITIVE</vt:lpstr>
      <vt:lpstr>PREDI</vt:lpstr>
      <vt:lpstr>PROFESSION</vt:lpstr>
      <vt:lpstr>PSYCHO</vt:lpstr>
      <vt:lpstr>PV</vt:lpstr>
      <vt:lpstr>REFLEXE</vt:lpstr>
      <vt:lpstr>RENSEIGNE</vt:lpstr>
      <vt:lpstr>RENSIGNE</vt:lpstr>
      <vt:lpstr>REPRESENTE</vt:lpstr>
      <vt:lpstr>SAG</vt:lpstr>
      <vt:lpstr>SAUT</vt:lpstr>
      <vt:lpstr>SURVIE</vt:lpstr>
      <vt:lpstr>TAILLE</vt:lpstr>
      <vt:lpstr>'Compagnon animal'!TR_DRUI</vt:lpstr>
      <vt:lpstr>UTIL_OM</vt:lpstr>
      <vt:lpstr>VIGUEUR</vt:lpstr>
      <vt:lpstr>VITESSE</vt:lpstr>
      <vt:lpstr>VITESSE_BONUS</vt:lpstr>
      <vt:lpstr>VITESSE_RACIAL</vt:lpstr>
      <vt:lpstr>VITESSE_REDUC</vt:lpstr>
      <vt:lpstr>VITESSE_REDUC_ARMURE</vt:lpstr>
      <vt:lpstr>VITESSE_REDUC_ENCOMB</vt:lpstr>
      <vt:lpstr>VOLONTE</vt:lpstr>
    </vt:vector>
  </TitlesOfParts>
  <Company>Schneider Electric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Rodolphe VIELZEUF - SESA255941</dc:creator>
  <cp:lastModifiedBy>Paul A.</cp:lastModifiedBy>
  <dcterms:created xsi:type="dcterms:W3CDTF">2013-09-13T13:48:53Z</dcterms:created>
  <dcterms:modified xsi:type="dcterms:W3CDTF">2015-09-16T23:19:09Z</dcterms:modified>
</cp:coreProperties>
</file>